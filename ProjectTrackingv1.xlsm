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dney\Documents\ExcelTemplates\ProjectTrackingV2\"/>
    </mc:Choice>
  </mc:AlternateContent>
  <bookViews>
    <workbookView xWindow="0" yWindow="0" windowWidth="16176" windowHeight="8028"/>
  </bookViews>
  <sheets>
    <sheet name="Sprint" sheetId="1" r:id="rId1"/>
    <sheet name="Tasks" sheetId="6" r:id="rId2"/>
    <sheet name="Status" sheetId="7" r:id="rId3"/>
    <sheet name="Sprints" sheetId="5" r:id="rId4"/>
    <sheet name="Burndown Chart" sheetId="4" r:id="rId5"/>
    <sheet name="Stories" sheetId="2" r:id="rId6"/>
    <sheet name="Resources" sheetId="3" r:id="rId7"/>
  </sheets>
  <functionGroups builtInGroupCount="18"/>
  <definedNames>
    <definedName name="_xlnm._FilterDatabase" localSheetId="0" hidden="1">Sprint!$A$4:$AX$31</definedName>
    <definedName name="_xlnm._FilterDatabase" localSheetId="1" hidden="1">Tasks!$A$1:$F$35</definedName>
    <definedName name="Actual">(PeriodInActual*(Stories!$J1&gt;0))*PeriodInPlan</definedName>
    <definedName name="ActualBeyond">PeriodInActual*(Stories!$J1&gt;0)</definedName>
    <definedName name="_xlnm.Criteria" localSheetId="0">Sprint!$A$1:$A$2</definedName>
    <definedName name="FindTaskCell">Sprint!$F$1</definedName>
    <definedName name="hiddenrow">Sprint!1:2</definedName>
    <definedName name="PercentComplete">PercentCompleteBeyond*PeriodInPlan</definedName>
    <definedName name="PercentCompleteBeyond">(Stories!A$2=MEDIAN(Stories!A$2,Stories!$J1,Stories!$J1+Stories!$K1)*(Stories!$J1&gt;0))*((Stories!A$2&lt;(INT(Stories!$J1+Stories!$K1*Stories!$L1)))+(Stories!A$2=Stories!$J1))*(Stories!$L1&gt;0)</definedName>
    <definedName name="period_selected">Stories!$S$1</definedName>
    <definedName name="PeriodInActual">Stories!A$2=MEDIAN(Stories!A$2,Stories!$J1,Stories!$J1+Stories!$K1-1)</definedName>
    <definedName name="PeriodInPlan">Stories!A$2=MEDIAN(Stories!A$2,Stories!$H1,Stories!$H1+Stories!$I1-1)</definedName>
    <definedName name="Plan">PeriodInPlan*(Stories!$H1&gt;0)</definedName>
    <definedName name="Resource">OFFSET(Resources!$A$2,0,0,COUNTA(Resources!$A$2:'Resources'!$A$19),1)</definedName>
    <definedName name="ResourceUsed">OFFSET(Sprint!$F$5,0,0,COUNTA(Sprint!$F$5:'Sprint'!$F$31),1)</definedName>
    <definedName name="SprintActivity">OFFSET(Sprint!$H$5,0,0,COUNTA(Sprint!$H$5:'Sprint'!$ZH$31),20)</definedName>
    <definedName name="SprintDate">Table3[End Date]</definedName>
    <definedName name="SprintID">OFFSET(Sprint!$A$5,0,0,COUNTA(Sprint!$A$5:'Sprint'!$A$31),1)</definedName>
    <definedName name="SprintInput">Sprint!$B$1</definedName>
    <definedName name="Sprints">OFFSET(Sprints!$A$2,0,0,COUNTA(Sprints!$A$2:'Sprints'!$A$62),1)</definedName>
    <definedName name="SprintStories">OFFSET(Sprint!$B$5,0,0,COUNTA(Sprint!$B$5:'Sprint'!$B$31),1)</definedName>
    <definedName name="SprintStory">Sprint!$C$5:$C$32</definedName>
    <definedName name="Statuses">Status!$A$2:$A$5</definedName>
    <definedName name="StoriesTable">Stories!$D$3:$BU$29</definedName>
    <definedName name="Story">OFFSET(Stories!$B$3,0,0,COUNTA(Stories!$B$3:'Stories'!$B$29),1)</definedName>
    <definedName name="StoryID">OFFSET(Stories!$A$3,0,0,COUNTA(Stories!$A$3:'Stories'!$A$29),1)</definedName>
    <definedName name="TaskBalance">OFFSET(Sprint!$AB$5,0,0,COUNTA(Sprint!$AB$5:'Sprint'!$AB$31),1)</definedName>
    <definedName name="TaskEst">OFFSET(Sprint!$G$5,0,0,COUNTA(Sprint!$G$5:'Sprint'!$G$31),1)</definedName>
    <definedName name="TaskExpVariance">OFFSET(Sprint!$AC$5,0,0,COUNTA(Sprint!$AC$5:'Sprint'!$AC$31),1)</definedName>
    <definedName name="TaskIDRange" localSheetId="0">Sprint!$D$5:'Sprint'!$D$31</definedName>
    <definedName name="TaskLeft">OFFSET(Sprint!$AX$5,0,0,COUNTA(Sprint!$AX$5:'Sprint'!$AX$31),1)</definedName>
    <definedName name="TaskList">OFFSET(Tasks!$A$2,0,0,COUNTA(Tasks!$A$2:'Tasks'!$A$35),1)</definedName>
    <definedName name="TaskNames">Tasks!$D$2:$D$35</definedName>
    <definedName name="TaskTable">Tasks!$A$1:$F$35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7" i="1" l="1"/>
  <c r="E27" i="1"/>
  <c r="AB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B28" i="1"/>
  <c r="E28" i="1"/>
  <c r="AB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B26" i="1"/>
  <c r="E26" i="1"/>
  <c r="AB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C26" i="1"/>
  <c r="AC28" i="1"/>
  <c r="AC27" i="1"/>
  <c r="AX28" i="1"/>
  <c r="AX21" i="1" l="1"/>
  <c r="AX22" i="1"/>
  <c r="AX23" i="1"/>
  <c r="AX25" i="1"/>
  <c r="AX29" i="1"/>
  <c r="AX30" i="1"/>
  <c r="AX31" i="1"/>
  <c r="AX15" i="1"/>
  <c r="AX9" i="1"/>
  <c r="AX11" i="1"/>
  <c r="AX12" i="1"/>
  <c r="AX17" i="1"/>
  <c r="AX6" i="1"/>
  <c r="AX20" i="1"/>
  <c r="AX7" i="1"/>
  <c r="AX19" i="1"/>
  <c r="AX18" i="1"/>
  <c r="AX14" i="1"/>
  <c r="AX16" i="1"/>
  <c r="AX8" i="1"/>
  <c r="AX24" i="1"/>
  <c r="AX5" i="1"/>
  <c r="AX13" i="1"/>
  <c r="AX10" i="1"/>
  <c r="B17" i="6" l="1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14" i="6"/>
  <c r="B15" i="6"/>
  <c r="B16" i="6"/>
  <c r="E7" i="1"/>
  <c r="E11" i="1"/>
  <c r="E10" i="1"/>
  <c r="E9" i="1"/>
  <c r="E8" i="1"/>
  <c r="AB13" i="1" l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B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B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B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B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B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B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B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B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B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B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B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B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B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B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D2" i="1"/>
  <c r="AC20" i="1"/>
  <c r="AC14" i="1"/>
  <c r="AC24" i="1"/>
  <c r="AC22" i="1"/>
  <c r="AC21" i="1"/>
  <c r="AC25" i="1"/>
  <c r="AC30" i="1"/>
  <c r="AC15" i="1"/>
  <c r="AC29" i="1"/>
  <c r="AC23" i="1"/>
  <c r="AC17" i="1"/>
  <c r="AC13" i="1"/>
  <c r="AC19" i="1"/>
  <c r="AC16" i="1"/>
  <c r="AC18" i="1"/>
  <c r="AB31" i="1" l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E16" i="1"/>
  <c r="B16" i="1"/>
  <c r="AC31" i="1"/>
  <c r="AB9" i="1" l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B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B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B9" i="1"/>
  <c r="B10" i="1"/>
  <c r="E31" i="1"/>
  <c r="E30" i="1"/>
  <c r="E29" i="1"/>
  <c r="E25" i="1"/>
  <c r="E24" i="1"/>
  <c r="E23" i="1"/>
  <c r="E22" i="1"/>
  <c r="E21" i="1"/>
  <c r="E20" i="1"/>
  <c r="E19" i="1"/>
  <c r="E18" i="1"/>
  <c r="E17" i="1"/>
  <c r="E15" i="1"/>
  <c r="E14" i="1"/>
  <c r="E13" i="1"/>
  <c r="E12" i="1"/>
  <c r="E6" i="1"/>
  <c r="E5" i="1"/>
  <c r="B2" i="6"/>
  <c r="B3" i="6"/>
  <c r="B4" i="6"/>
  <c r="B5" i="6"/>
  <c r="B6" i="6"/>
  <c r="B7" i="6"/>
  <c r="B8" i="6"/>
  <c r="B9" i="6"/>
  <c r="B10" i="6"/>
  <c r="B11" i="6"/>
  <c r="B12" i="6"/>
  <c r="B13" i="6"/>
  <c r="B5" i="1"/>
  <c r="B6" i="1"/>
  <c r="B7" i="1"/>
  <c r="B8" i="1"/>
  <c r="B11" i="1"/>
  <c r="B12" i="1"/>
  <c r="B13" i="1"/>
  <c r="B14" i="1"/>
  <c r="B15" i="1"/>
  <c r="B17" i="1"/>
  <c r="B18" i="1"/>
  <c r="B19" i="1"/>
  <c r="B20" i="1"/>
  <c r="B21" i="1"/>
  <c r="B22" i="1"/>
  <c r="B23" i="1"/>
  <c r="B24" i="1"/>
  <c r="B25" i="1"/>
  <c r="B29" i="1"/>
  <c r="B30" i="1"/>
  <c r="B31" i="1"/>
  <c r="AB5" i="1"/>
  <c r="AB6" i="1"/>
  <c r="AB7" i="1"/>
  <c r="AB8" i="1"/>
  <c r="AB12" i="1"/>
  <c r="D29" i="2"/>
  <c r="E29" i="2"/>
  <c r="F29" i="2"/>
  <c r="G29" i="2"/>
  <c r="J29" i="2"/>
  <c r="J30" i="2"/>
  <c r="K30" i="2"/>
  <c r="C3" i="5"/>
  <c r="B4" i="5" s="1"/>
  <c r="C4" i="5" s="1"/>
  <c r="B5" i="5" s="1"/>
  <c r="C5" i="5" s="1"/>
  <c r="B6" i="5" s="1"/>
  <c r="C6" i="5" s="1"/>
  <c r="B7" i="5" s="1"/>
  <c r="C7" i="5" s="1"/>
  <c r="B8" i="5" s="1"/>
  <c r="C8" i="5" s="1"/>
  <c r="B9" i="5" s="1"/>
  <c r="C9" i="5" s="1"/>
  <c r="B10" i="5" s="1"/>
  <c r="C10" i="5" s="1"/>
  <c r="B11" i="5" s="1"/>
  <c r="C11" i="5" s="1"/>
  <c r="B12" i="5" s="1"/>
  <c r="C12" i="5" s="1"/>
  <c r="B13" i="5" s="1"/>
  <c r="C13" i="5" s="1"/>
  <c r="B14" i="5" s="1"/>
  <c r="C14" i="5" s="1"/>
  <c r="B15" i="5" s="1"/>
  <c r="C15" i="5" s="1"/>
  <c r="B16" i="5" s="1"/>
  <c r="C16" i="5" s="1"/>
  <c r="B17" i="5" s="1"/>
  <c r="C17" i="5" s="1"/>
  <c r="B18" i="5" s="1"/>
  <c r="C18" i="5" s="1"/>
  <c r="B19" i="5" s="1"/>
  <c r="C19" i="5" s="1"/>
  <c r="B20" i="5" s="1"/>
  <c r="C20" i="5" s="1"/>
  <c r="B21" i="5" s="1"/>
  <c r="C21" i="5" s="1"/>
  <c r="B22" i="5" s="1"/>
  <c r="C22" i="5" s="1"/>
  <c r="B23" i="5" s="1"/>
  <c r="C23" i="5" s="1"/>
  <c r="B24" i="5" s="1"/>
  <c r="C24" i="5" s="1"/>
  <c r="B25" i="5" s="1"/>
  <c r="C25" i="5" s="1"/>
  <c r="B26" i="5" s="1"/>
  <c r="C26" i="5" s="1"/>
  <c r="B27" i="5" s="1"/>
  <c r="C27" i="5" s="1"/>
  <c r="B28" i="5" s="1"/>
  <c r="C28" i="5" s="1"/>
  <c r="B29" i="5" s="1"/>
  <c r="C29" i="5" s="1"/>
  <c r="B30" i="5" s="1"/>
  <c r="C30" i="5" s="1"/>
  <c r="B31" i="5" s="1"/>
  <c r="C31" i="5" s="1"/>
  <c r="B32" i="5" s="1"/>
  <c r="C32" i="5" s="1"/>
  <c r="B33" i="5" s="1"/>
  <c r="C33" i="5" s="1"/>
  <c r="B34" i="5" s="1"/>
  <c r="C34" i="5" s="1"/>
  <c r="B35" i="5" s="1"/>
  <c r="C35" i="5" s="1"/>
  <c r="B36" i="5" s="1"/>
  <c r="C36" i="5" s="1"/>
  <c r="B37" i="5" s="1"/>
  <c r="C37" i="5" s="1"/>
  <c r="B38" i="5" s="1"/>
  <c r="C38" i="5" s="1"/>
  <c r="B39" i="5" s="1"/>
  <c r="C39" i="5" s="1"/>
  <c r="B40" i="5" s="1"/>
  <c r="C40" i="5" s="1"/>
  <c r="B41" i="5" s="1"/>
  <c r="C41" i="5" s="1"/>
  <c r="B42" i="5" s="1"/>
  <c r="C42" i="5" s="1"/>
  <c r="B43" i="5" s="1"/>
  <c r="C43" i="5" s="1"/>
  <c r="B44" i="5" s="1"/>
  <c r="C44" i="5" s="1"/>
  <c r="B45" i="5" s="1"/>
  <c r="C45" i="5" s="1"/>
  <c r="B46" i="5" s="1"/>
  <c r="C46" i="5" s="1"/>
  <c r="B47" i="5" s="1"/>
  <c r="C47" i="5" s="1"/>
  <c r="B48" i="5" s="1"/>
  <c r="C48" i="5" s="1"/>
  <c r="B49" i="5" s="1"/>
  <c r="C49" i="5" s="1"/>
  <c r="B50" i="5" s="1"/>
  <c r="C50" i="5" s="1"/>
  <c r="B51" i="5" s="1"/>
  <c r="C51" i="5" s="1"/>
  <c r="B52" i="5" s="1"/>
  <c r="C52" i="5" s="1"/>
  <c r="B53" i="5" s="1"/>
  <c r="C53" i="5" s="1"/>
  <c r="B54" i="5" s="1"/>
  <c r="C54" i="5" s="1"/>
  <c r="B55" i="5" s="1"/>
  <c r="C55" i="5" s="1"/>
  <c r="B56" i="5" s="1"/>
  <c r="C56" i="5" s="1"/>
  <c r="B57" i="5" s="1"/>
  <c r="C57" i="5" s="1"/>
  <c r="B58" i="5" s="1"/>
  <c r="C58" i="5" s="1"/>
  <c r="B59" i="5" s="1"/>
  <c r="C59" i="5" s="1"/>
  <c r="B60" i="5" s="1"/>
  <c r="C60" i="5" s="1"/>
  <c r="B61" i="5" s="1"/>
  <c r="C61" i="5" s="1"/>
  <c r="B62" i="5" s="1"/>
  <c r="C62" i="5" s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2" i="1"/>
  <c r="AA32" i="1" s="1"/>
  <c r="A4" i="5"/>
  <c r="A5" i="5" s="1"/>
  <c r="AC6" i="1"/>
  <c r="AC12" i="1"/>
  <c r="AC8" i="1"/>
  <c r="AC7" i="1"/>
  <c r="AC11" i="1"/>
  <c r="AC9" i="1"/>
  <c r="AC10" i="1"/>
  <c r="AC5" i="1"/>
  <c r="K4" i="2" l="1"/>
  <c r="K8" i="2"/>
  <c r="K12" i="2"/>
  <c r="K16" i="2"/>
  <c r="K20" i="2"/>
  <c r="K24" i="2"/>
  <c r="K28" i="2"/>
  <c r="K15" i="2"/>
  <c r="K27" i="2"/>
  <c r="K5" i="2"/>
  <c r="K9" i="2"/>
  <c r="K13" i="2"/>
  <c r="K17" i="2"/>
  <c r="K21" i="2"/>
  <c r="K25" i="2"/>
  <c r="K29" i="2"/>
  <c r="K19" i="2"/>
  <c r="K6" i="2"/>
  <c r="K10" i="2"/>
  <c r="K14" i="2"/>
  <c r="K18" i="2"/>
  <c r="K22" i="2"/>
  <c r="K26" i="2"/>
  <c r="K7" i="2"/>
  <c r="K11" i="2"/>
  <c r="K23" i="2"/>
  <c r="K3" i="2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L29" i="2"/>
  <c r="J3" i="2"/>
  <c r="AJ32" i="1"/>
  <c r="Q6" i="4" s="1"/>
  <c r="AW32" i="1"/>
  <c r="P12" i="4" s="1"/>
  <c r="AR32" i="1"/>
  <c r="Q10" i="4" s="1"/>
  <c r="AQ32" i="1"/>
  <c r="P9" i="4" s="1"/>
  <c r="AI32" i="1"/>
  <c r="P5" i="4" s="1"/>
  <c r="AE32" i="1"/>
  <c r="P3" i="4" s="1"/>
  <c r="AT32" i="1"/>
  <c r="Q11" i="4" s="1"/>
  <c r="AD32" i="1"/>
  <c r="Q3" i="4" s="1"/>
  <c r="AF32" i="1"/>
  <c r="Q4" i="4" s="1"/>
  <c r="AV32" i="1"/>
  <c r="Q12" i="4" s="1"/>
  <c r="AK32" i="1"/>
  <c r="P6" i="4" s="1"/>
  <c r="AU32" i="1"/>
  <c r="P11" i="4" s="1"/>
  <c r="AM32" i="1"/>
  <c r="P7" i="4" s="1"/>
  <c r="AN32" i="1"/>
  <c r="Q8" i="4" s="1"/>
  <c r="J32" i="1"/>
  <c r="H32" i="1"/>
  <c r="L32" i="1"/>
  <c r="G32" i="1"/>
  <c r="P2" i="4" s="1"/>
  <c r="R2" i="4" s="1"/>
  <c r="R8" i="4" s="1"/>
  <c r="N32" i="1"/>
  <c r="AH32" i="1"/>
  <c r="Q5" i="4" s="1"/>
  <c r="AL32" i="1"/>
  <c r="Q7" i="4" s="1"/>
  <c r="AP32" i="1"/>
  <c r="Q9" i="4" s="1"/>
  <c r="O32" i="1"/>
  <c r="A32" i="1"/>
  <c r="K32" i="1"/>
  <c r="Q32" i="1"/>
  <c r="I32" i="1"/>
  <c r="M32" i="1"/>
  <c r="R32" i="1"/>
  <c r="AS32" i="1"/>
  <c r="P10" i="4" s="1"/>
  <c r="AO32" i="1"/>
  <c r="P8" i="4" s="1"/>
  <c r="AG32" i="1"/>
  <c r="P4" i="4" s="1"/>
  <c r="S32" i="1"/>
  <c r="P32" i="1"/>
  <c r="T32" i="1"/>
  <c r="V32" i="1"/>
  <c r="W32" i="1"/>
  <c r="AB32" i="1"/>
  <c r="X32" i="1"/>
  <c r="U32" i="1"/>
  <c r="Y32" i="1"/>
  <c r="R11" i="4"/>
  <c r="Z32" i="1"/>
  <c r="D5" i="2"/>
  <c r="D12" i="2"/>
  <c r="J27" i="2"/>
  <c r="J17" i="2"/>
  <c r="B20" i="3"/>
  <c r="J25" i="2"/>
  <c r="E25" i="2"/>
  <c r="E19" i="2"/>
  <c r="D20" i="2"/>
  <c r="J9" i="2"/>
  <c r="E4" i="2"/>
  <c r="E13" i="2"/>
  <c r="AX32" i="1"/>
  <c r="AC32" i="1"/>
  <c r="G15" i="2"/>
  <c r="G23" i="2"/>
  <c r="F27" i="2"/>
  <c r="F23" i="2"/>
  <c r="F14" i="2"/>
  <c r="F19" i="2"/>
  <c r="J8" i="2"/>
  <c r="E27" i="2"/>
  <c r="E28" i="2"/>
  <c r="E3" i="2"/>
  <c r="E18" i="2"/>
  <c r="F18" i="2"/>
  <c r="F13" i="2"/>
  <c r="E12" i="2"/>
  <c r="E22" i="2"/>
  <c r="G7" i="2"/>
  <c r="D4" i="2"/>
  <c r="D23" i="2"/>
  <c r="J20" i="2"/>
  <c r="G18" i="2"/>
  <c r="D15" i="2"/>
  <c r="J12" i="2"/>
  <c r="G10" i="2"/>
  <c r="D26" i="2"/>
  <c r="F4" i="2"/>
  <c r="F25" i="2"/>
  <c r="E17" i="2"/>
  <c r="J5" i="2"/>
  <c r="G4" i="2"/>
  <c r="D24" i="2"/>
  <c r="J21" i="2"/>
  <c r="G19" i="2"/>
  <c r="D16" i="2"/>
  <c r="J13" i="2"/>
  <c r="G11" i="2"/>
  <c r="D8" i="2"/>
  <c r="F3" i="2"/>
  <c r="E24" i="2"/>
  <c r="F24" i="2"/>
  <c r="F17" i="2"/>
  <c r="E16" i="2"/>
  <c r="J4" i="2"/>
  <c r="G3" i="2"/>
  <c r="J28" i="2"/>
  <c r="J24" i="2"/>
  <c r="G22" i="2"/>
  <c r="D19" i="2"/>
  <c r="J16" i="2"/>
  <c r="G14" i="2"/>
  <c r="D11" i="2"/>
  <c r="F28" i="2"/>
  <c r="E6" i="2"/>
  <c r="F6" i="2"/>
  <c r="E7" i="2"/>
  <c r="E21" i="2"/>
  <c r="E9" i="2"/>
  <c r="F21" i="2"/>
  <c r="F9" i="2"/>
  <c r="F16" i="2"/>
  <c r="F12" i="2"/>
  <c r="E15" i="2"/>
  <c r="E11" i="2"/>
  <c r="F10" i="2"/>
  <c r="J6" i="2"/>
  <c r="F22" i="2"/>
  <c r="G6" i="2"/>
  <c r="D3" i="2"/>
  <c r="G25" i="2"/>
  <c r="J23" i="2"/>
  <c r="D22" i="2"/>
  <c r="G21" i="2"/>
  <c r="J19" i="2"/>
  <c r="D18" i="2"/>
  <c r="G17" i="2"/>
  <c r="J15" i="2"/>
  <c r="D14" i="2"/>
  <c r="G13" i="2"/>
  <c r="J11" i="2"/>
  <c r="D10" i="2"/>
  <c r="G9" i="2"/>
  <c r="D7" i="2"/>
  <c r="D28" i="2"/>
  <c r="D27" i="2"/>
  <c r="E5" i="2"/>
  <c r="F5" i="2"/>
  <c r="F7" i="2"/>
  <c r="E20" i="2"/>
  <c r="E8" i="2"/>
  <c r="F20" i="2"/>
  <c r="F8" i="2"/>
  <c r="F15" i="2"/>
  <c r="F11" i="2"/>
  <c r="E14" i="2"/>
  <c r="E10" i="2"/>
  <c r="J7" i="2"/>
  <c r="E23" i="2"/>
  <c r="G5" i="2"/>
  <c r="D6" i="2"/>
  <c r="J26" i="2"/>
  <c r="D25" i="2"/>
  <c r="G24" i="2"/>
  <c r="J22" i="2"/>
  <c r="D21" i="2"/>
  <c r="G20" i="2"/>
  <c r="J18" i="2"/>
  <c r="D17" i="2"/>
  <c r="G16" i="2"/>
  <c r="J14" i="2"/>
  <c r="D13" i="2"/>
  <c r="G12" i="2"/>
  <c r="J10" i="2"/>
  <c r="D9" i="2"/>
  <c r="G8" i="2"/>
  <c r="G28" i="2"/>
  <c r="G27" i="2"/>
  <c r="G26" i="2"/>
  <c r="F26" i="2"/>
  <c r="E26" i="2"/>
  <c r="C1" i="1" l="1"/>
  <c r="L17" i="2"/>
  <c r="L10" i="2"/>
  <c r="L25" i="2"/>
  <c r="L13" i="2"/>
  <c r="L22" i="2"/>
  <c r="L15" i="2"/>
  <c r="L6" i="2"/>
  <c r="L9" i="2"/>
  <c r="L23" i="2"/>
  <c r="R4" i="4"/>
  <c r="R6" i="4"/>
  <c r="R10" i="4"/>
  <c r="R3" i="4"/>
  <c r="R5" i="4"/>
  <c r="R12" i="4"/>
  <c r="R7" i="4"/>
  <c r="R9" i="4"/>
  <c r="L21" i="2"/>
  <c r="L5" i="2"/>
  <c r="L12" i="2"/>
  <c r="L14" i="2"/>
  <c r="L19" i="2"/>
  <c r="L7" i="2"/>
  <c r="L18" i="2"/>
  <c r="L11" i="2"/>
  <c r="L20" i="2"/>
  <c r="L27" i="2"/>
  <c r="D30" i="2"/>
  <c r="L3" i="2"/>
  <c r="G30" i="2"/>
  <c r="L8" i="2"/>
  <c r="L26" i="2"/>
  <c r="L28" i="2"/>
  <c r="F30" i="2"/>
  <c r="L24" i="2"/>
  <c r="E30" i="2"/>
  <c r="L16" i="2"/>
  <c r="L4" i="2"/>
</calcChain>
</file>

<file path=xl/connections.xml><?xml version="1.0" encoding="utf-8"?>
<connections xmlns="http://schemas.openxmlformats.org/spreadsheetml/2006/main">
  <connection id="1" keepAlive="1" name="Query - Sprints" description="Connection to the 'Sprints' query in the workbook." type="5" refreshedVersion="0" background="1">
    <dbPr connection="Provider=Microsoft.Mashup.OleDb.1;Data Source=$Workbook$;Location=Sprints" command="SELECT * FROM [Sprints]"/>
  </connection>
  <connection id="2" keepAlive="1" name="Query - TaskTable" description="Connection to the 'TaskTable' query in the workbook." type="5" refreshedVersion="0" background="1">
    <dbPr connection="Provider=Microsoft.Mashup.OleDb.1;Data Source=$Workbook$;Location=TaskTable" command="SELECT * FROM [TaskTable]"/>
  </connection>
</connections>
</file>

<file path=xl/sharedStrings.xml><?xml version="1.0" encoding="utf-8"?>
<sst xmlns="http://schemas.openxmlformats.org/spreadsheetml/2006/main" count="277" uniqueCount="138">
  <si>
    <t>Story</t>
  </si>
  <si>
    <t>Tasks</t>
  </si>
  <si>
    <t>Initial</t>
  </si>
  <si>
    <t>Spent</t>
  </si>
  <si>
    <t>Left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</si>
  <si>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</si>
  <si>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</si>
  <si>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</si>
  <si>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</si>
  <si>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</si>
  <si>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</si>
  <si>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</si>
  <si>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</si>
  <si>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</si>
  <si>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</si>
  <si>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Totals</t>
  </si>
  <si>
    <t>Balance</t>
  </si>
  <si>
    <t>Exp Var</t>
  </si>
  <si>
    <t>Resource</t>
  </si>
  <si>
    <t>Rodney</t>
  </si>
  <si>
    <t>Alexis</t>
  </si>
  <si>
    <t>Story ID</t>
  </si>
  <si>
    <t>Estimate</t>
  </si>
  <si>
    <t>Exp Variance</t>
  </si>
  <si>
    <t>Total</t>
  </si>
  <si>
    <t>In Prog</t>
  </si>
  <si>
    <t>To Do</t>
  </si>
  <si>
    <t>Day</t>
  </si>
  <si>
    <t>In Progress</t>
  </si>
  <si>
    <t>Optimal</t>
  </si>
  <si>
    <t>Sprint ID</t>
  </si>
  <si>
    <t>Start Date</t>
  </si>
  <si>
    <t>End Date</t>
  </si>
  <si>
    <t>SprintID</t>
  </si>
  <si>
    <t>Spent2</t>
  </si>
  <si>
    <t>Left3</t>
  </si>
  <si>
    <t>Spent4</t>
  </si>
  <si>
    <t>Left5</t>
  </si>
  <si>
    <t>Left7</t>
  </si>
  <si>
    <t>Spent8</t>
  </si>
  <si>
    <t>Left9</t>
  </si>
  <si>
    <t>Spent10</t>
  </si>
  <si>
    <t>Left11</t>
  </si>
  <si>
    <t>Spent12</t>
  </si>
  <si>
    <t>Left13</t>
  </si>
  <si>
    <t>Spent14</t>
  </si>
  <si>
    <t>Left15</t>
  </si>
  <si>
    <t>Spent16</t>
  </si>
  <si>
    <t>Left17</t>
  </si>
  <si>
    <t>Spent18</t>
  </si>
  <si>
    <t>Left19</t>
  </si>
  <si>
    <t>In Prog20</t>
  </si>
  <si>
    <t>To Do21</t>
  </si>
  <si>
    <t>In Prog22</t>
  </si>
  <si>
    <t>To Do23</t>
  </si>
  <si>
    <t>In Prog24</t>
  </si>
  <si>
    <t>To Do25</t>
  </si>
  <si>
    <t>In Prog26</t>
  </si>
  <si>
    <t>To Do27</t>
  </si>
  <si>
    <t>In Prog28</t>
  </si>
  <si>
    <t>To Do29</t>
  </si>
  <si>
    <t>In Prog30</t>
  </si>
  <si>
    <t>To Do31</t>
  </si>
  <si>
    <t>In Prog32</t>
  </si>
  <si>
    <t>To Do33</t>
  </si>
  <si>
    <t>In Prog34</t>
  </si>
  <si>
    <t>To Do35</t>
  </si>
  <si>
    <t>In Prog36</t>
  </si>
  <si>
    <t>To Do37</t>
  </si>
  <si>
    <t>Left38</t>
  </si>
  <si>
    <t>Spent3</t>
  </si>
  <si>
    <t>Actual Start</t>
  </si>
  <si>
    <t xml:space="preserve"> Period Highlight:</t>
  </si>
  <si>
    <t>Plan</t>
  </si>
  <si>
    <t>Actual</t>
  </si>
  <si>
    <r>
      <rPr>
        <sz val="12"/>
        <color theme="1" tint="0.24994659260841701"/>
        <rFont val="Calibri"/>
        <family val="2"/>
      </rPr>
      <t>%</t>
    </r>
    <r>
      <rPr>
        <sz val="11"/>
        <color theme="1"/>
        <rFont val="Calibri"/>
        <family val="2"/>
        <scheme val="min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</si>
  <si>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/>
        <rFont val="Calibri"/>
        <family val="2"/>
        <scheme val="min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</si>
  <si>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/>
        <rFont val="Calibri"/>
        <family val="2"/>
        <scheme val="min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</si>
  <si>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Plan Duration</t>
  </si>
  <si>
    <t>Actual Duration</t>
  </si>
  <si>
    <t>Percent Complete</t>
  </si>
  <si>
    <t>Plan    Start</t>
  </si>
  <si>
    <t>Est Hours</t>
  </si>
  <si>
    <t>All</t>
  </si>
  <si>
    <t>All Sprints</t>
  </si>
  <si>
    <t>StoryID</t>
  </si>
  <si>
    <t>Task</t>
  </si>
  <si>
    <t>Description</t>
  </si>
  <si>
    <t>Status</t>
  </si>
  <si>
    <t>New</t>
  </si>
  <si>
    <t>In progress</t>
  </si>
  <si>
    <t>Deferred</t>
  </si>
  <si>
    <t>Completed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</si>
  <si>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</si>
  <si>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</si>
  <si>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</si>
  <si>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</si>
  <si>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</si>
  <si>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</si>
  <si>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</si>
  <si>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</si>
  <si>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</si>
  <si>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</si>
  <si>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</si>
  <si>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</si>
  <si>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Story 1</t>
  </si>
  <si>
    <t>Story 2</t>
  </si>
  <si>
    <t>Story 3</t>
  </si>
  <si>
    <t>Story 4</t>
  </si>
  <si>
    <t>Story 5</t>
  </si>
  <si>
    <t>Story 6</t>
  </si>
  <si>
    <t>Story 7</t>
  </si>
  <si>
    <t>Story 8</t>
  </si>
  <si>
    <t>Story 9</t>
  </si>
  <si>
    <t>Story 10</t>
  </si>
  <si>
    <t>Story 11</t>
  </si>
  <si>
    <t>Story 12</t>
  </si>
  <si>
    <t>Story 13</t>
  </si>
  <si>
    <t>Story 14</t>
  </si>
  <si>
    <t>Story 15</t>
  </si>
  <si>
    <t>Story 16</t>
  </si>
  <si>
    <t>Story 17</t>
  </si>
  <si>
    <t>Story 18</t>
  </si>
  <si>
    <t>Story 19</t>
  </si>
  <si>
    <t>Story 20</t>
  </si>
  <si>
    <t>Story 21</t>
  </si>
  <si>
    <t>Story 22</t>
  </si>
  <si>
    <t>Story 23</t>
  </si>
  <si>
    <t>Story 24</t>
  </si>
  <si>
    <t>Story 25</t>
  </si>
  <si>
    <t>Story 26</t>
  </si>
  <si>
    <t>Column1</t>
  </si>
  <si>
    <t>TaskID</t>
  </si>
  <si>
    <t>Task 13</t>
  </si>
  <si>
    <t>task 15</t>
  </si>
  <si>
    <t>Task 14</t>
  </si>
  <si>
    <t>Erica</t>
  </si>
  <si>
    <t>Story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</si>
</sst>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735773"/>
        <bgColor indexed="64"/>
      </patternFill>
    </fill>
    <fill>
      <patternFill patternType="solid">
        <fgColor rgb="FFE9AB51"/>
        <bgColor indexed="64"/>
      </patternFill>
    </fill>
    <fill>
      <patternFill patternType="lightUp">
        <fgColor rgb="FF735773"/>
        <bgColor rgb="FFCAB9CA"/>
      </patternFill>
    </fill>
    <fill>
      <patternFill patternType="lightUp">
        <fgColor rgb="FF735773"/>
      </patternFill>
    </fill>
    <fill>
      <patternFill patternType="lightUp">
        <fgColor rgb="FF735773"/>
        <bgColor rgb="FFF7DEB9"/>
      </patternFill>
    </fill>
  </fills>
  <borders count="2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4">
    <xf numFmtId="0" fontId="0" fillId="0" borderId="0"/>
    <xf numFmtId="0" fontId="5" fillId="3" borderId="13" applyNumberFormat="0" applyProtection="0">
      <alignment horizontal="left" vertical="center"/>
    </xf>
    <xf numFmtId="0" fontId="6" fillId="0" borderId="0" applyNumberFormat="0" applyFill="0" applyBorder="0" applyProtection="0">
      <alignment horizontal="left" vertical="center"/>
    </xf>
    <xf numFmtId="9" fontId="9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Fill="1"/>
    <xf numFmtId="0" fontId="0" fillId="0" borderId="0" xfId="0" applyFill="1" applyBorder="1"/>
    <xf numFmtId="14" fontId="0" fillId="0" borderId="0" xfId="0" applyNumberFormat="1" applyFill="1" applyAlignment="1" applyProtection="1">
      <alignment horizontal="left"/>
      <protection locked="0"/>
    </xf>
    <xf numFmtId="0" fontId="0" fillId="0" borderId="1" xfId="0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5" xfId="0" applyFont="1" applyBorder="1"/>
    <xf numFmtId="0" fontId="2" fillId="0" borderId="5" xfId="0" applyFont="1" applyBorder="1"/>
    <xf numFmtId="0" fontId="0" fillId="0" borderId="7" xfId="0" applyFont="1" applyBorder="1"/>
    <xf numFmtId="0" fontId="2" fillId="0" borderId="7" xfId="0" applyFont="1" applyBorder="1"/>
    <xf numFmtId="14" fontId="0" fillId="0" borderId="0" xfId="0" applyNumberFormat="1"/>
    <xf numFmtId="0" fontId="1" fillId="0" borderId="0" xfId="0" applyFont="1"/>
    <xf numFmtId="0" fontId="0" fillId="0" borderId="10" xfId="0" applyFont="1" applyBorder="1"/>
    <xf numFmtId="14" fontId="1" fillId="0" borderId="0" xfId="0" applyNumberFormat="1" applyFont="1" applyFill="1" applyProtection="1">
      <protection locked="0"/>
    </xf>
    <xf numFmtId="0" fontId="0" fillId="2" borderId="0" xfId="0" applyFill="1" applyProtection="1">
      <protection locked="0"/>
    </xf>
    <xf numFmtId="49" fontId="0" fillId="0" borderId="5" xfId="0" applyNumberFormat="1" applyFont="1" applyBorder="1"/>
    <xf numFmtId="14" fontId="1" fillId="0" borderId="0" xfId="0" applyNumberFormat="1" applyFont="1" applyFill="1" applyAlignment="1" applyProtection="1">
      <alignment horizontal="center"/>
    </xf>
    <xf numFmtId="0" fontId="5" fillId="3" borderId="13" xfId="1">
      <alignment horizontal="left" vertical="center"/>
    </xf>
    <xf numFmtId="0" fontId="0" fillId="0" borderId="0" xfId="0" applyAlignment="1">
      <alignment horizontal="center"/>
    </xf>
    <xf numFmtId="0" fontId="7" fillId="0" borderId="0" xfId="2" applyFont="1">
      <alignment horizontal="left" vertical="center"/>
    </xf>
    <xf numFmtId="0" fontId="0" fillId="0" borderId="0" xfId="2" applyFont="1">
      <alignment horizontal="left" vertical="center"/>
    </xf>
    <xf numFmtId="0" fontId="0" fillId="0" borderId="0" xfId="0" applyAlignment="1">
      <alignment vertical="center"/>
    </xf>
    <xf numFmtId="0" fontId="8" fillId="3" borderId="13" xfId="1" applyFont="1">
      <alignment horizontal="left" vertical="center"/>
    </xf>
    <xf numFmtId="0" fontId="0" fillId="0" borderId="15" xfId="0" applyBorder="1"/>
    <xf numFmtId="0" fontId="1" fillId="0" borderId="16" xfId="0" applyFont="1" applyBorder="1"/>
    <xf numFmtId="0" fontId="1" fillId="0" borderId="16" xfId="0" applyFont="1" applyBorder="1" applyAlignment="1">
      <alignment horizontal="right"/>
    </xf>
    <xf numFmtId="0" fontId="1" fillId="0" borderId="16" xfId="0" applyFont="1" applyBorder="1" applyAlignment="1">
      <alignment horizontal="center" wrapText="1"/>
    </xf>
    <xf numFmtId="0" fontId="1" fillId="0" borderId="17" xfId="0" applyFont="1" applyBorder="1" applyAlignment="1">
      <alignment horizontal="right"/>
    </xf>
    <xf numFmtId="0" fontId="0" fillId="4" borderId="15" xfId="0" applyFill="1" applyBorder="1"/>
    <xf numFmtId="9" fontId="0" fillId="4" borderId="15" xfId="3" applyFont="1" applyFill="1" applyBorder="1"/>
    <xf numFmtId="0" fontId="1" fillId="2" borderId="16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right"/>
    </xf>
    <xf numFmtId="0" fontId="0" fillId="2" borderId="0" xfId="0" applyFill="1"/>
    <xf numFmtId="0" fontId="0" fillId="2" borderId="15" xfId="0" applyFill="1" applyBorder="1"/>
    <xf numFmtId="9" fontId="0" fillId="2" borderId="0" xfId="3" applyFont="1" applyFill="1"/>
    <xf numFmtId="0" fontId="0" fillId="5" borderId="0" xfId="0" applyFill="1" applyBorder="1"/>
    <xf numFmtId="14" fontId="0" fillId="5" borderId="0" xfId="0" applyNumberFormat="1" applyFill="1" applyBorder="1"/>
    <xf numFmtId="0" fontId="0" fillId="6" borderId="0" xfId="0" applyFill="1"/>
    <xf numFmtId="49" fontId="4" fillId="0" borderId="12" xfId="0" applyNumberFormat="1" applyFont="1" applyFill="1" applyBorder="1" applyAlignment="1">
      <alignment horizontal="center" wrapText="1"/>
    </xf>
    <xf numFmtId="49" fontId="4" fillId="0" borderId="11" xfId="0" applyNumberFormat="1" applyFont="1" applyFill="1" applyBorder="1" applyAlignment="1">
      <alignment horizontal="center" wrapText="1"/>
    </xf>
    <xf numFmtId="49" fontId="4" fillId="0" borderId="12" xfId="0" applyNumberFormat="1" applyFont="1" applyFill="1" applyBorder="1" applyAlignment="1">
      <alignment horizontal="right" textRotation="180" wrapText="1"/>
    </xf>
    <xf numFmtId="49" fontId="4" fillId="0" borderId="11" xfId="0" applyNumberFormat="1" applyFont="1" applyFill="1" applyBorder="1" applyAlignment="1">
      <alignment horizontal="right" textRotation="180" wrapText="1"/>
    </xf>
    <xf numFmtId="0" fontId="4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14" fontId="11" fillId="0" borderId="0" xfId="0" applyNumberFormat="1" applyFont="1" applyFill="1" applyAlignment="1" applyProtection="1">
      <alignment horizontal="center"/>
    </xf>
    <xf numFmtId="0" fontId="3" fillId="0" borderId="18" xfId="0" applyFont="1" applyFill="1" applyBorder="1" applyAlignment="1">
      <alignment horizontal="center"/>
    </xf>
    <xf numFmtId="0" fontId="1" fillId="0" borderId="0" xfId="0" applyFont="1" applyBorder="1"/>
    <xf numFmtId="0" fontId="0" fillId="0" borderId="20" xfId="0" applyFont="1" applyFill="1" applyBorder="1"/>
    <xf numFmtId="0" fontId="0" fillId="0" borderId="0" xfId="0" applyFont="1" applyFill="1"/>
    <xf numFmtId="0" fontId="0" fillId="0" borderId="19" xfId="0" applyFont="1" applyFill="1" applyBorder="1"/>
    <xf numFmtId="49" fontId="0" fillId="0" borderId="7" xfId="0" applyNumberFormat="1" applyFont="1" applyBorder="1"/>
    <xf numFmtId="0" fontId="0" fillId="0" borderId="22" xfId="0" applyFont="1" applyBorder="1"/>
    <xf numFmtId="0" fontId="2" fillId="0" borderId="22" xfId="0" applyFont="1" applyBorder="1"/>
    <xf numFmtId="0" fontId="0" fillId="0" borderId="9" xfId="0" applyFont="1" applyBorder="1"/>
    <xf numFmtId="49" fontId="3" fillId="7" borderId="0" xfId="0" applyNumberFormat="1" applyFont="1" applyFill="1" applyBorder="1" applyAlignment="1">
      <alignment horizontal="center" wrapText="1"/>
    </xf>
    <xf numFmtId="49" fontId="3" fillId="7" borderId="6" xfId="0" applyNumberFormat="1" applyFont="1" applyFill="1" applyBorder="1" applyAlignment="1">
      <alignment horizontal="center" wrapText="1"/>
    </xf>
    <xf numFmtId="49" fontId="3" fillId="7" borderId="6" xfId="0" applyNumberFormat="1" applyFont="1" applyFill="1" applyBorder="1" applyAlignment="1">
      <alignment horizontal="right" textRotation="180" wrapText="1"/>
    </xf>
    <xf numFmtId="49" fontId="3" fillId="7" borderId="6" xfId="0" applyNumberFormat="1" applyFont="1" applyFill="1" applyBorder="1" applyAlignment="1">
      <alignment horizontal="right" vertical="center" textRotation="180" wrapText="1"/>
    </xf>
    <xf numFmtId="49" fontId="4" fillId="7" borderId="6" xfId="0" applyNumberFormat="1" applyFont="1" applyFill="1" applyBorder="1" applyAlignment="1">
      <alignment horizontal="right" vertical="center" textRotation="180" wrapText="1"/>
    </xf>
    <xf numFmtId="0" fontId="0" fillId="0" borderId="21" xfId="0" applyFont="1" applyBorder="1"/>
    <xf numFmtId="0" fontId="0" fillId="0" borderId="23" xfId="0" applyFont="1" applyBorder="1"/>
    <xf numFmtId="0" fontId="0" fillId="11" borderId="14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</cellXfs>
  <cellStyles count="4">
    <cellStyle name="Label" xfId="2"/>
    <cellStyle name="Normal" xfId="0" builtinId="0"/>
    <cellStyle name="Percent" xfId="3" builtinId="5"/>
    <cellStyle name="Period Highlight Control" xfId="1"/>
  </cellStyles>
  <dxfs count="71">
    <dxf>
      <numFmt numFmtId="0" formatCode="General"/>
    </dxf>
    <dxf>
      <border outline="0">
        <bottom style="thin">
          <color indexed="64"/>
        </bottom>
      </border>
    </dxf>
    <dxf>
      <border outline="0">
        <bottom style="medium">
          <color indexed="64"/>
        </bottom>
      </border>
    </dxf>
    <dxf>
      <fill>
        <patternFill>
          <bgColor theme="7" tint="0.79998168889431442"/>
        </patternFill>
      </fill>
    </dxf>
    <dxf>
      <fill>
        <patternFill>
          <bgColor rgb="FFF7DEB9"/>
        </patternFill>
      </fill>
    </dxf>
    <dxf>
      <fill>
        <patternFill patternType="lightUp">
          <fgColor rgb="FF735773"/>
          <bgColor rgb="FFFFFFFF"/>
        </patternFill>
      </fill>
    </dxf>
    <dxf>
      <fill>
        <patternFill patternType="lightUp">
          <fgColor rgb="FF735773"/>
          <bgColor rgb="FFE0DEB9"/>
        </patternFill>
      </fill>
    </dxf>
    <dxf>
      <fill>
        <patternFill patternType="lightUp">
          <fgColor rgb="FF735773"/>
          <bgColor rgb="FFCAB9CA"/>
        </patternFill>
      </fill>
    </dxf>
    <dxf>
      <fill>
        <patternFill>
          <bgColor rgb="FFE9AB51"/>
        </patternFill>
      </fill>
    </dxf>
    <dxf>
      <fill>
        <patternFill>
          <bgColor rgb="FF7357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border outline="0">
        <top style="thin">
          <color theme="1"/>
        </top>
      </border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theme="4" tint="0.3999755851924192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theme="9" tint="0.79998168889431442"/>
        </patternFill>
      </fill>
    </dxf>
  </dxfs>
  <tableStyles count="1" defaultTableStyle="TableStyleMedium2" defaultPivotStyle="PivotStyleLight16">
    <tableStyle name="Table Style 1" pivot="0" count="0"/>
  </tableStyles>
  <colors>
    <mruColors>
      <color rgb="FFE9AB51"/>
      <color rgb="FF735773"/>
      <color rgb="FFF7DEB9"/>
      <color rgb="FFCAB9CA"/>
      <color rgb="FFFFFFFF"/>
      <color rgb="FFD9D9D9"/>
      <color rgb="FFE0DEB9"/>
      <color rgb="FF3366CC"/>
      <color rgb="FFE0E0E0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'Burndown Chart'!$P$1</c:f>
              <c:strCache>
                <c:ptCount val="1"/>
                <c:pt idx="0">
                  <c:v>To 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'Burndown Chart'!$O$2:$O$12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Chart'!$P$2:$P$12</c:f>
              <c:numCache>
                <c:formatCode>General</c:formatCode>
                <c:ptCount val="11"/>
                <c:pt idx="0">
                  <c:v>177</c:v>
                </c:pt>
                <c:pt idx="1">
                  <c:v>80</c:v>
                </c:pt>
                <c:pt idx="2">
                  <c:v>80</c:v>
                </c:pt>
                <c:pt idx="3">
                  <c:v>68</c:v>
                </c:pt>
                <c:pt idx="4">
                  <c:v>48</c:v>
                </c:pt>
                <c:pt idx="5">
                  <c:v>48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C-46EC-8949-759E0F689E19}"/>
            </c:ext>
          </c:extLst>
        </c:ser>
        <c:ser>
          <c:idx val="2"/>
          <c:order val="1"/>
          <c:tx>
            <c:strRef>
              <c:f>'Burndown Chart'!$Q$1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'Burndown Chart'!$O$2:$O$12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Chart'!$Q$2:$Q$12</c:f>
              <c:numCache>
                <c:formatCode>General</c:formatCode>
                <c:ptCount val="11"/>
                <c:pt idx="0">
                  <c:v>0</c:v>
                </c:pt>
                <c:pt idx="1">
                  <c:v>108</c:v>
                </c:pt>
                <c:pt idx="2">
                  <c:v>95</c:v>
                </c:pt>
                <c:pt idx="3">
                  <c:v>87</c:v>
                </c:pt>
                <c:pt idx="4">
                  <c:v>75</c:v>
                </c:pt>
                <c:pt idx="5">
                  <c:v>56</c:v>
                </c:pt>
                <c:pt idx="6">
                  <c:v>72</c:v>
                </c:pt>
                <c:pt idx="7">
                  <c:v>46</c:v>
                </c:pt>
                <c:pt idx="8">
                  <c:v>32</c:v>
                </c:pt>
                <c:pt idx="9">
                  <c:v>32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AC-46EC-8949-759E0F689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289016"/>
        <c:axId val="800287376"/>
      </c:areaChart>
      <c:lineChart>
        <c:grouping val="standard"/>
        <c:varyColors val="0"/>
        <c:ser>
          <c:idx val="3"/>
          <c:order val="2"/>
          <c:tx>
            <c:strRef>
              <c:f>'Burndown Chart'!$R$1</c:f>
              <c:strCache>
                <c:ptCount val="1"/>
                <c:pt idx="0">
                  <c:v>Optimal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'Burndown Chart'!$R$2:$R$12</c:f>
              <c:numCache>
                <c:formatCode>General</c:formatCode>
                <c:ptCount val="11"/>
                <c:pt idx="0">
                  <c:v>177</c:v>
                </c:pt>
                <c:pt idx="1">
                  <c:v>159</c:v>
                </c:pt>
                <c:pt idx="2">
                  <c:v>142</c:v>
                </c:pt>
                <c:pt idx="3">
                  <c:v>124</c:v>
                </c:pt>
                <c:pt idx="4">
                  <c:v>106</c:v>
                </c:pt>
                <c:pt idx="5">
                  <c:v>89</c:v>
                </c:pt>
                <c:pt idx="6">
                  <c:v>71</c:v>
                </c:pt>
                <c:pt idx="7">
                  <c:v>53</c:v>
                </c:pt>
                <c:pt idx="8">
                  <c:v>35</c:v>
                </c:pt>
                <c:pt idx="9">
                  <c:v>18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AC-46EC-8949-759E0F689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289016"/>
        <c:axId val="800287376"/>
      </c:lineChart>
      <c:catAx>
        <c:axId val="80028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7376"/>
        <c:crosses val="autoZero"/>
        <c:auto val="1"/>
        <c:lblAlgn val="ctr"/>
        <c:lblOffset val="100"/>
        <c:noMultiLvlLbl val="0"/>
      </c:catAx>
      <c:valAx>
        <c:axId val="80028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6" fmlaLink="period_selected" max="60" min="1" page="1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1722120</xdr:colOff>
          <xdr:row>0</xdr:row>
          <xdr:rowOff>0</xdr:rowOff>
        </xdr:from>
        <xdr:to>
          <xdr:col>4</xdr:col>
          <xdr:colOff>2491740</xdr:colOff>
          <xdr:row>0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1</xdr:row>
      <xdr:rowOff>53340</xdr:rowOff>
    </xdr:from>
    <xdr:to>
      <xdr:col>11</xdr:col>
      <xdr:colOff>477520</xdr:colOff>
      <xdr:row>24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68580</xdr:colOff>
          <xdr:row>0</xdr:row>
          <xdr:rowOff>30480</xdr:rowOff>
        </xdr:from>
        <xdr:to>
          <xdr:col>19</xdr:col>
          <xdr:colOff>190500</xdr:colOff>
          <xdr:row>0</xdr:row>
          <xdr:rowOff>259080</xdr:rowOff>
        </xdr:to>
        <xdr:sp macro="" textlink="">
          <xdr:nvSpPr>
            <xdr:cNvPr id="4097" name="Spinner 1" descr="Period Highlight Spin Contro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e4" displayName="Table4" ref="A4:AX31" totalsRowShown="0" dataDxfId="69" tableBorderDxfId="68">
  <autoFilter ref="A4:AX31">
    <filterColumn colId="0">
      <filters blank="1">
        <filter val="1"/>
      </filters>
    </filterColumn>
  </autoFilter>
  <tableColumns count="50">
    <tableColumn id="1" name="SprintID" dataDxfId="67"/>
    <tableColumn id="2" name="Story ID" dataDxfId="66">
      <calculatedColumnFormula>_xlfn.IFNA(INDEX(StoryID,MATCH(C5,Story,0)),"")</calculatedColumnFormula>
    </tableColumn>
    <tableColumn id="3" name="Story" dataDxfId="65"/>
    <tableColumn id="4" name="Column1" dataDxfId="64"/>
    <tableColumn id="5" name="Tasks" dataDxfId="63">
      <calculatedColumnFormula>_xlfn.IFNA(INDEX(TaskNames,MATCH(D5,TaskList,0)),"")</calculatedColumnFormula>
    </tableColumn>
    <tableColumn id="6" name="Resource" dataDxfId="62"/>
    <tableColumn id="7" name="Initial" dataDxfId="61"/>
    <tableColumn id="8" name="Spent" dataDxfId="60"/>
    <tableColumn id="9" name="Left" dataDxfId="59"/>
    <tableColumn id="10" name="Spent2" dataDxfId="58"/>
    <tableColumn id="11" name="Left3" dataDxfId="57"/>
    <tableColumn id="12" name="Spent4" dataDxfId="56"/>
    <tableColumn id="13" name="Left5" dataDxfId="55"/>
    <tableColumn id="14" name="Spent3" dataDxfId="54"/>
    <tableColumn id="15" name="Left7" dataDxfId="53"/>
    <tableColumn id="16" name="Spent8" dataDxfId="52"/>
    <tableColumn id="17" name="Left9" dataDxfId="51"/>
    <tableColumn id="18" name="Spent10" dataDxfId="50"/>
    <tableColumn id="19" name="Left11" dataDxfId="49"/>
    <tableColumn id="20" name="Spent12" dataDxfId="48"/>
    <tableColumn id="21" name="Left13" dataDxfId="47"/>
    <tableColumn id="22" name="Spent14" dataDxfId="46"/>
    <tableColumn id="23" name="Left15" dataDxfId="45"/>
    <tableColumn id="24" name="Spent16" dataDxfId="44"/>
    <tableColumn id="25" name="Left17" dataDxfId="43"/>
    <tableColumn id="26" name="Spent18" dataDxfId="42"/>
    <tableColumn id="27" name="Left19" dataDxfId="41"/>
    <tableColumn id="28" name="Balance" dataDxfId="40">
      <calculatedColumnFormula>G5-SUMIF($H$3:$AA$3,H$3,Sprint!$H5:$AA5)</calculatedColumnFormula>
    </tableColumn>
    <tableColumn id="29" name="Exp Var" dataDxfId="39">
      <calculatedColumnFormula>_xlfn.IFNA(IF(INDIRECT(ADDRESS(3,LOOKUP(2,1/(H5:AA5&lt;&gt;""),COLUMN(H5:AA5))))="Left",AB5-INDIRECT(ADDRESS(ROW(H5),LOOKUP(2,1/(H5:AA5&lt;&gt;""),COLUMN(H5:AA5)))),AB5),"")</calculatedColumnFormula>
    </tableColumn>
    <tableColumn id="30" name="In Prog" dataDxfId="38">
      <calculatedColumnFormula>IF(SUMIF($H$3:H$3,H$3,Sprint!$H5:H5)&gt;0,I5,0)</calculatedColumnFormula>
    </tableColumn>
    <tableColumn id="31" name="To Do" dataDxfId="37">
      <calculatedColumnFormula>IF(SUMIF($H$3:H$3,H$3,Sprint!$H5:H5)=0,$G5,0)</calculatedColumnFormula>
    </tableColumn>
    <tableColumn id="32" name="In Prog20" dataDxfId="36">
      <calculatedColumnFormula>IF(SUMIF($H$3:J$3,J$3,Sprint!$H5:J5)&gt;0,K5,0)</calculatedColumnFormula>
    </tableColumn>
    <tableColumn id="33" name="To Do21" dataDxfId="35">
      <calculatedColumnFormula>IF(SUMIF($H$3:J$3,J$3,Sprint!$H5:J5)=0,$G5,0)</calculatedColumnFormula>
    </tableColumn>
    <tableColumn id="34" name="In Prog22" dataDxfId="34">
      <calculatedColumnFormula>IF(SUMIF($H$3:L$3,L$3,Sprint!$H5:L5)&gt;0,M5,0)</calculatedColumnFormula>
    </tableColumn>
    <tableColumn id="35" name="To Do23" dataDxfId="33">
      <calculatedColumnFormula>IF(SUMIF($H$3:L$3,L$3,Sprint!$H5:L5)=0,$G5,0)</calculatedColumnFormula>
    </tableColumn>
    <tableColumn id="36" name="In Prog24" dataDxfId="32">
      <calculatedColumnFormula>IF(SUMIF($H$3:N$3,N$3,Sprint!$H5:N5)&gt;0,O5,0)</calculatedColumnFormula>
    </tableColumn>
    <tableColumn id="37" name="To Do25" dataDxfId="31">
      <calculatedColumnFormula>IF(SUMIF($H$3:N$3,N$3,Sprint!$H5:N5)=0,$G5,0)</calculatedColumnFormula>
    </tableColumn>
    <tableColumn id="38" name="In Prog26" dataDxfId="30">
      <calculatedColumnFormula>IF(SUMIF($H$3:P$3,P$3,Sprint!$H5:P5)&gt;0,Q5,0)</calculatedColumnFormula>
    </tableColumn>
    <tableColumn id="39" name="To Do27" dataDxfId="29">
      <calculatedColumnFormula>IF(SUMIF($H$3:P$3,P$3,Sprint!$H5:P5)=0,$G5,0)</calculatedColumnFormula>
    </tableColumn>
    <tableColumn id="40" name="In Prog28" dataDxfId="28">
      <calculatedColumnFormula>IF(SUMIF($H$3:R$3,R$3,Sprint!$H5:R5)&gt;0,S5,0)</calculatedColumnFormula>
    </tableColumn>
    <tableColumn id="41" name="To Do29" dataDxfId="27">
      <calculatedColumnFormula>IF(SUMIF($H$3:R$3,R$3,Sprint!$H5:R5)=0,$G5,0)</calculatedColumnFormula>
    </tableColumn>
    <tableColumn id="42" name="In Prog30" dataDxfId="26">
      <calculatedColumnFormula>IF(SUMIF($H$3:T$3,T$3,Sprint!$H5:T5)&gt;0,U5,0)</calculatedColumnFormula>
    </tableColumn>
    <tableColumn id="43" name="To Do31" dataDxfId="25">
      <calculatedColumnFormula>IF(SUMIF($H$3:T$3,T$3,Sprint!$H5:T5)=0,$G5,0)</calculatedColumnFormula>
    </tableColumn>
    <tableColumn id="44" name="In Prog32" dataDxfId="24">
      <calculatedColumnFormula>IF(SUMIF($H$3:V$3,V$3,Sprint!$H5:V5)&gt;0,W5,0)</calculatedColumnFormula>
    </tableColumn>
    <tableColumn id="45" name="To Do33" dataDxfId="23">
      <calculatedColumnFormula>IF(SUMIF($H$3:V$3,V$3,Sprint!$H5:V5)=0,$G5,0)</calculatedColumnFormula>
    </tableColumn>
    <tableColumn id="46" name="In Prog34" dataDxfId="22">
      <calculatedColumnFormula>IF(SUMIF($H$3:X$3,X$3,Sprint!$H5:X5)&gt;0,Y5,0)</calculatedColumnFormula>
    </tableColumn>
    <tableColumn id="47" name="To Do35" dataDxfId="21">
      <calculatedColumnFormula>IF(SUMIF($H$3:X$3,X$3,Sprint!$H5:X5)=0,$G5,0)</calculatedColumnFormula>
    </tableColumn>
    <tableColumn id="48" name="In Prog36" dataDxfId="20">
      <calculatedColumnFormula>IF(SUMIF($H$3:Z$3,Z$3,Sprint!$H5:Z5)&gt;0,AA5,0)</calculatedColumnFormula>
    </tableColumn>
    <tableColumn id="49" name="To Do37" dataDxfId="19">
      <calculatedColumnFormula>IF(SUMIF($H$3:Z$3,Z$3,Sprint!$H5:Z5)=0,$G5,0)</calculatedColumnFormula>
    </tableColumn>
    <tableColumn id="50" name="Left38" dataDxfId="18">
      <calculatedColumnFormula>IF(COUNTA($H5:$AA5)&gt;0,_xlfn.IFNA(INDIRECT(ADDRESS(ROW($H5),LOOKUP(2,1/($H5:$AA5&lt;&gt;""),COLUMN($H5:$AA5)))),""),$G5)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35" totalsRowShown="0" dataDxfId="17" tableBorderDxfId="16" headerRowCellStyle="Label" dataCellStyle="Label">
  <tableColumns count="6">
    <tableColumn id="1" name="TaskID" dataDxfId="15"/>
    <tableColumn id="2" name="StoryID" dataDxfId="14">
      <calculatedColumnFormula>_xlfn.IFNA(INDEX(StoryID,MATCH(C2,Story,0)),"")</calculatedColumnFormula>
    </tableColumn>
    <tableColumn id="3" name="Story" dataDxfId="13"/>
    <tableColumn id="4" name="Task" dataDxfId="12"/>
    <tableColumn id="5" name="Description" dataDxfId="11"/>
    <tableColumn id="6" name="Status" dataDxfId="10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C62" totalsRowShown="0">
  <tableColumns count="3">
    <tableColumn id="1" name="Sprint ID"/>
    <tableColumn id="2" name="Start Date"/>
    <tableColumn id="3" name="End Date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1:B19" totalsRowShown="0" headerRowBorderDxfId="2" tableBorderDxfId="1">
  <tableColumns count="2">
    <tableColumn id="1" name="Resource"/>
    <tableColumn id="2" name="Est Hours" dataDxfId="0">
      <calculatedColumnFormula>IFERROR(SUMIFS(TaskEst,ResourceUsed,Resources!A2,SprintID,SprintInput),IF($A2&lt;&gt;"","Initial estimate missing",""))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36"/>
  <sheetViews>
    <sheetView tabSelected="1" workbookViewId="0">
      <pane ySplit="4" topLeftCell="A11" activePane="bottomLeft" state="frozen"/>
      <selection activeCell="A2" sqref="A2"/>
      <selection pane="bottomLeft" activeCell="B1" sqref="B1"/>
    </sheetView>
  </sheetViews>
  <sheetFormatPr defaultRowHeight="14.4" x14ac:dyDescent="0.3"/>
  <cols>
    <col min="1" max="1" width="9.6640625" customWidth="1"/>
    <col min="2" max="2" width="9.5546875" customWidth="1"/>
    <col min="3" max="3" width="30.77734375" style="1" customWidth="1"/>
    <col min="4" max="4" width="11.33203125" style="1" customWidth="1"/>
    <col min="5" max="5" width="36.77734375" style="1" bestFit="1" customWidth="1"/>
    <col min="6" max="6" width="10.5546875" style="1" customWidth="1"/>
    <col min="7" max="7" width="7.5546875" style="1" customWidth="1"/>
    <col min="8" max="9" width="4.77734375" style="1" customWidth="1"/>
    <col min="10" max="11" width="4.77734375" style="2" customWidth="1"/>
    <col min="12" max="28" width="4.77734375" style="1" customWidth="1"/>
    <col min="29" max="29" width="4.77734375" customWidth="1"/>
    <col min="30" max="31" width="4.77734375" style="1" hidden="1" customWidth="1"/>
    <col min="32" max="33" width="4.77734375" style="2" hidden="1" customWidth="1"/>
    <col min="34" max="49" width="4.77734375" style="1" hidden="1" customWidth="1"/>
    <col min="50" max="50" width="4.77734375" customWidth="1"/>
    <col min="53" max="53" width="0" hidden="1" customWidth="1"/>
    <col min="56" max="56" width="8.88671875" customWidth="1"/>
  </cols>
  <sheetData>
    <row r="1" spans="1:53" x14ac:dyDescent="0.3">
      <c r="A1" s="12" t="s">
        <v>33</v>
      </c>
      <c r="B1" s="15">
        <v>1</v>
      </c>
      <c r="C1" s="17">
        <f ca="1">_xlfn.IFNA(INDEX(SprintDate,MATCH(B1,Sprints,0)),"")</f>
        <v>42669</v>
      </c>
      <c r="D1" s="48" t="s">
        <v>132</v>
      </c>
      <c r="E1" s="3"/>
      <c r="F1" s="33">
        <v>17</v>
      </c>
      <c r="BA1" s="12" t="s">
        <v>33</v>
      </c>
    </row>
    <row r="2" spans="1:53" x14ac:dyDescent="0.3">
      <c r="A2" s="44">
        <f>SprintInput</f>
        <v>1</v>
      </c>
      <c r="B2" s="43"/>
      <c r="C2" s="46"/>
      <c r="D2" s="49">
        <f>FindTaskCell</f>
        <v>17</v>
      </c>
      <c r="E2" s="47"/>
      <c r="F2" s="70"/>
      <c r="G2" s="71"/>
      <c r="H2" s="70" t="s">
        <v>5</v>
      </c>
      <c r="I2" s="71"/>
      <c r="J2" s="70" t="s">
        <v>6</v>
      </c>
      <c r="K2" s="71"/>
      <c r="L2" s="70" t="s">
        <v>7</v>
      </c>
      <c r="M2" s="71"/>
      <c r="N2" s="70" t="s">
        <v>8</v>
      </c>
      <c r="O2" s="71"/>
      <c r="P2" s="70" t="s">
        <v>9</v>
      </c>
      <c r="Q2" s="71"/>
      <c r="R2" s="70" t="s">
        <v>10</v>
      </c>
      <c r="S2" s="71"/>
      <c r="T2" s="70" t="s">
        <v>11</v>
      </c>
      <c r="U2" s="71"/>
      <c r="V2" s="70" t="s">
        <v>12</v>
      </c>
      <c r="W2" s="71"/>
      <c r="X2" s="70" t="s">
        <v>13</v>
      </c>
      <c r="Y2" s="71"/>
      <c r="Z2" s="70" t="s">
        <v>14</v>
      </c>
      <c r="AA2" s="71"/>
      <c r="AB2" s="70"/>
      <c r="AC2" s="71"/>
      <c r="AD2" s="70">
        <v>1</v>
      </c>
      <c r="AE2" s="71">
        <v>1</v>
      </c>
      <c r="AF2" s="70">
        <v>2</v>
      </c>
      <c r="AG2" s="71">
        <v>2</v>
      </c>
      <c r="AH2" s="70">
        <v>3</v>
      </c>
      <c r="AI2" s="71">
        <v>3</v>
      </c>
      <c r="AJ2" s="70">
        <v>4</v>
      </c>
      <c r="AK2" s="71">
        <v>4</v>
      </c>
      <c r="AL2" s="70">
        <v>5</v>
      </c>
      <c r="AM2" s="71">
        <v>5</v>
      </c>
      <c r="AN2" s="70">
        <v>6</v>
      </c>
      <c r="AO2" s="71">
        <v>6</v>
      </c>
      <c r="AP2" s="70">
        <v>7</v>
      </c>
      <c r="AQ2" s="71">
        <v>7</v>
      </c>
      <c r="AR2" s="70">
        <v>8</v>
      </c>
      <c r="AS2" s="71">
        <v>8</v>
      </c>
      <c r="AT2" s="70">
        <v>9</v>
      </c>
      <c r="AU2" s="71">
        <v>9</v>
      </c>
      <c r="AV2" s="70">
        <v>10</v>
      </c>
      <c r="AW2" s="71">
        <v>10</v>
      </c>
      <c r="AX2" s="45"/>
    </row>
    <row r="3" spans="1:53" ht="41.4" thickBot="1" x14ac:dyDescent="0.35">
      <c r="A3" s="39" t="s">
        <v>33</v>
      </c>
      <c r="B3" s="40" t="s">
        <v>21</v>
      </c>
      <c r="C3" s="40" t="s">
        <v>0</v>
      </c>
      <c r="D3" s="40" t="s">
        <v>132</v>
      </c>
      <c r="E3" s="40" t="s">
        <v>1</v>
      </c>
      <c r="F3" s="40" t="s">
        <v>18</v>
      </c>
      <c r="G3" s="41" t="s">
        <v>2</v>
      </c>
      <c r="H3" s="42" t="s">
        <v>3</v>
      </c>
      <c r="I3" s="42" t="s">
        <v>4</v>
      </c>
      <c r="J3" s="42" t="s">
        <v>3</v>
      </c>
      <c r="K3" s="42" t="s">
        <v>4</v>
      </c>
      <c r="L3" s="42" t="s">
        <v>3</v>
      </c>
      <c r="M3" s="42" t="s">
        <v>4</v>
      </c>
      <c r="N3" s="42" t="s">
        <v>3</v>
      </c>
      <c r="O3" s="42" t="s">
        <v>4</v>
      </c>
      <c r="P3" s="42" t="s">
        <v>3</v>
      </c>
      <c r="Q3" s="42" t="s">
        <v>4</v>
      </c>
      <c r="R3" s="42" t="s">
        <v>3</v>
      </c>
      <c r="S3" s="42" t="s">
        <v>4</v>
      </c>
      <c r="T3" s="42" t="s">
        <v>3</v>
      </c>
      <c r="U3" s="42" t="s">
        <v>4</v>
      </c>
      <c r="V3" s="42" t="s">
        <v>3</v>
      </c>
      <c r="W3" s="42" t="s">
        <v>4</v>
      </c>
      <c r="X3" s="42" t="s">
        <v>3</v>
      </c>
      <c r="Y3" s="42" t="s">
        <v>4</v>
      </c>
      <c r="Z3" s="42" t="s">
        <v>3</v>
      </c>
      <c r="AA3" s="42" t="s">
        <v>4</v>
      </c>
      <c r="AB3" s="42" t="s">
        <v>16</v>
      </c>
      <c r="AC3" s="41" t="s">
        <v>17</v>
      </c>
      <c r="AD3" s="42" t="s">
        <v>25</v>
      </c>
      <c r="AE3" s="42" t="s">
        <v>26</v>
      </c>
      <c r="AF3" s="42" t="s">
        <v>25</v>
      </c>
      <c r="AG3" s="42" t="s">
        <v>26</v>
      </c>
      <c r="AH3" s="42" t="s">
        <v>25</v>
      </c>
      <c r="AI3" s="42" t="s">
        <v>26</v>
      </c>
      <c r="AJ3" s="42" t="s">
        <v>25</v>
      </c>
      <c r="AK3" s="42" t="s">
        <v>26</v>
      </c>
      <c r="AL3" s="42" t="s">
        <v>25</v>
      </c>
      <c r="AM3" s="42" t="s">
        <v>26</v>
      </c>
      <c r="AN3" s="42" t="s">
        <v>25</v>
      </c>
      <c r="AO3" s="42" t="s">
        <v>26</v>
      </c>
      <c r="AP3" s="42" t="s">
        <v>25</v>
      </c>
      <c r="AQ3" s="42" t="s">
        <v>26</v>
      </c>
      <c r="AR3" s="42" t="s">
        <v>25</v>
      </c>
      <c r="AS3" s="42" t="s">
        <v>26</v>
      </c>
      <c r="AT3" s="42" t="s">
        <v>25</v>
      </c>
      <c r="AU3" s="42" t="s">
        <v>26</v>
      </c>
      <c r="AV3" s="42" t="s">
        <v>25</v>
      </c>
      <c r="AW3" s="42" t="s">
        <v>26</v>
      </c>
      <c r="AX3" s="41" t="s">
        <v>4</v>
      </c>
    </row>
    <row r="4" spans="1:53" ht="43.2" hidden="1" customHeight="1" thickTop="1" thickBot="1" x14ac:dyDescent="0.3">
      <c r="A4" s="58" t="s">
        <v>33</v>
      </c>
      <c r="B4" s="59" t="s">
        <v>21</v>
      </c>
      <c r="C4" s="59" t="s">
        <v>0</v>
      </c>
      <c r="D4" s="59" t="s">
        <v>131</v>
      </c>
      <c r="E4" s="59" t="s">
        <v>1</v>
      </c>
      <c r="F4" s="59" t="s">
        <v>18</v>
      </c>
      <c r="G4" s="60" t="s">
        <v>2</v>
      </c>
      <c r="H4" s="61" t="s">
        <v>3</v>
      </c>
      <c r="I4" s="61" t="s">
        <v>4</v>
      </c>
      <c r="J4" s="61" t="s">
        <v>34</v>
      </c>
      <c r="K4" s="61" t="s">
        <v>35</v>
      </c>
      <c r="L4" s="61" t="s">
        <v>36</v>
      </c>
      <c r="M4" s="61" t="s">
        <v>37</v>
      </c>
      <c r="N4" s="61" t="s">
        <v>70</v>
      </c>
      <c r="O4" s="61" t="s">
        <v>38</v>
      </c>
      <c r="P4" s="61" t="s">
        <v>39</v>
      </c>
      <c r="Q4" s="61" t="s">
        <v>40</v>
      </c>
      <c r="R4" s="61" t="s">
        <v>41</v>
      </c>
      <c r="S4" s="61" t="s">
        <v>42</v>
      </c>
      <c r="T4" s="61" t="s">
        <v>43</v>
      </c>
      <c r="U4" s="61" t="s">
        <v>44</v>
      </c>
      <c r="V4" s="61" t="s">
        <v>45</v>
      </c>
      <c r="W4" s="61" t="s">
        <v>46</v>
      </c>
      <c r="X4" s="61" t="s">
        <v>47</v>
      </c>
      <c r="Y4" s="61" t="s">
        <v>48</v>
      </c>
      <c r="Z4" s="61" t="s">
        <v>49</v>
      </c>
      <c r="AA4" s="61" t="s">
        <v>50</v>
      </c>
      <c r="AB4" s="60" t="s">
        <v>16</v>
      </c>
      <c r="AC4" s="60" t="s">
        <v>17</v>
      </c>
      <c r="AD4" s="61" t="s">
        <v>25</v>
      </c>
      <c r="AE4" s="62" t="s">
        <v>26</v>
      </c>
      <c r="AF4" s="61" t="s">
        <v>51</v>
      </c>
      <c r="AG4" s="62" t="s">
        <v>52</v>
      </c>
      <c r="AH4" s="61" t="s">
        <v>53</v>
      </c>
      <c r="AI4" s="62" t="s">
        <v>54</v>
      </c>
      <c r="AJ4" s="61" t="s">
        <v>55</v>
      </c>
      <c r="AK4" s="62" t="s">
        <v>56</v>
      </c>
      <c r="AL4" s="61" t="s">
        <v>57</v>
      </c>
      <c r="AM4" s="62" t="s">
        <v>58</v>
      </c>
      <c r="AN4" s="61" t="s">
        <v>59</v>
      </c>
      <c r="AO4" s="62" t="s">
        <v>60</v>
      </c>
      <c r="AP4" s="61" t="s">
        <v>61</v>
      </c>
      <c r="AQ4" s="62" t="s">
        <v>62</v>
      </c>
      <c r="AR4" s="61" t="s">
        <v>63</v>
      </c>
      <c r="AS4" s="62" t="s">
        <v>64</v>
      </c>
      <c r="AT4" s="61" t="s">
        <v>65</v>
      </c>
      <c r="AU4" s="62" t="s">
        <v>66</v>
      </c>
      <c r="AV4" s="61" t="s">
        <v>67</v>
      </c>
      <c r="AW4" s="62" t="s">
        <v>68</v>
      </c>
      <c r="AX4" s="60" t="s">
        <v>69</v>
      </c>
    </row>
    <row r="5" spans="1:53" ht="14.4" hidden="1" customHeight="1" thickTop="1" x14ac:dyDescent="0.3">
      <c r="A5" s="57">
        <v>2</v>
      </c>
      <c r="B5" s="7">
        <f t="shared" ref="B5:B31" ca="1" si="0">_xlfn.IFNA(INDEX(StoryID,MATCH(C5,Story,0)),"")</f>
        <v>2</v>
      </c>
      <c r="C5" s="7" t="s">
        <v>106</v>
      </c>
      <c r="D5" s="7">
        <v>11</v>
      </c>
      <c r="E5" s="7" t="str">
        <f t="shared" ref="E5:E29" ca="1" si="1">_xlfn.IFNA(INDEX(TaskNames,MATCH(D5,TaskList,0)),"")</f>
        <v>Task 6</v>
      </c>
      <c r="F5" s="7" t="s">
        <v>19</v>
      </c>
      <c r="G5" s="7">
        <v>36</v>
      </c>
      <c r="H5" s="7">
        <v>8</v>
      </c>
      <c r="I5" s="8">
        <v>28</v>
      </c>
      <c r="J5" s="7">
        <v>8</v>
      </c>
      <c r="K5" s="7">
        <v>20</v>
      </c>
      <c r="L5" s="7">
        <v>8</v>
      </c>
      <c r="M5" s="7">
        <v>16</v>
      </c>
      <c r="N5" s="7">
        <v>8</v>
      </c>
      <c r="O5" s="7">
        <v>4</v>
      </c>
      <c r="P5" s="7">
        <v>8</v>
      </c>
      <c r="Q5" s="7">
        <v>8</v>
      </c>
      <c r="R5" s="7">
        <v>8</v>
      </c>
      <c r="S5" s="7">
        <v>2</v>
      </c>
      <c r="T5" s="7">
        <v>2</v>
      </c>
      <c r="U5" s="7">
        <v>3</v>
      </c>
      <c r="V5" s="7">
        <v>2</v>
      </c>
      <c r="W5" s="7">
        <v>2</v>
      </c>
      <c r="X5" s="7">
        <v>2</v>
      </c>
      <c r="Y5" s="7">
        <v>0</v>
      </c>
      <c r="Z5" s="7"/>
      <c r="AA5" s="7"/>
      <c r="AB5" s="16">
        <f>G5-SUMIF($H$3:$AA$3,H$3,Sprint!$H5:$AA5)</f>
        <v>-18</v>
      </c>
      <c r="AC5" s="9">
        <f t="shared" ref="AC5:AC12" ca="1" si="2">_xlfn.IFNA(IF(INDIRECT(ADDRESS(3,LOOKUP(2,1/(H5:AA5&lt;&gt;""),COLUMN(H5:AA5))))="Left",AB5-INDIRECT(ADDRESS(ROW(H5),LOOKUP(2,1/(H5:AA5&lt;&gt;""),COLUMN(H5:AA5)))),AB5),"")</f>
        <v>-18</v>
      </c>
      <c r="AD5" s="9">
        <f>IF(SUMIF($H$3:H$3,H$3,Sprint!$H5:H5)&gt;0,I5,0)</f>
        <v>28</v>
      </c>
      <c r="AE5" s="10">
        <f>IF(SUMIF($H$3:H$3,H$3,Sprint!$H5:H5)=0,$G5,0)</f>
        <v>0</v>
      </c>
      <c r="AF5" s="9">
        <f>IF(SUMIF($H$3:J$3,J$3,Sprint!$H5:J5)&gt;0,K5,0)</f>
        <v>20</v>
      </c>
      <c r="AG5" s="10">
        <f>IF(SUMIF($H$3:J$3,J$3,Sprint!$H5:J5)=0,$G5,0)</f>
        <v>0</v>
      </c>
      <c r="AH5" s="9">
        <f>IF(SUMIF($H$3:L$3,L$3,Sprint!$H5:L5)&gt;0,M5,0)</f>
        <v>16</v>
      </c>
      <c r="AI5" s="10">
        <f>IF(SUMIF($H$3:L$3,L$3,Sprint!$H5:L5)=0,$G5,0)</f>
        <v>0</v>
      </c>
      <c r="AJ5" s="9">
        <f>IF(SUMIF($H$3:N$3,N$3,Sprint!$H5:N5)&gt;0,O5,0)</f>
        <v>4</v>
      </c>
      <c r="AK5" s="10">
        <f>IF(SUMIF($H$3:N$3,N$3,Sprint!$H5:N5)=0,$G5,0)</f>
        <v>0</v>
      </c>
      <c r="AL5" s="9">
        <f>IF(SUMIF($H$3:P$3,P$3,Sprint!$H5:P5)&gt;0,Q5,0)</f>
        <v>8</v>
      </c>
      <c r="AM5" s="10">
        <f>IF(SUMIF($H$3:P$3,P$3,Sprint!$H5:P5)=0,$G5,0)</f>
        <v>0</v>
      </c>
      <c r="AN5" s="9">
        <f>IF(SUMIF($H$3:R$3,R$3,Sprint!$H5:R5)&gt;0,S5,0)</f>
        <v>2</v>
      </c>
      <c r="AO5" s="10">
        <f>IF(SUMIF($H$3:R$3,R$3,Sprint!$H5:R5)=0,$G5,0)</f>
        <v>0</v>
      </c>
      <c r="AP5" s="9">
        <f>IF(SUMIF($H$3:T$3,T$3,Sprint!$H5:T5)&gt;0,U5,0)</f>
        <v>3</v>
      </c>
      <c r="AQ5" s="10">
        <f>IF(SUMIF($H$3:T$3,T$3,Sprint!$H5:T5)=0,$G5,0)</f>
        <v>0</v>
      </c>
      <c r="AR5" s="9">
        <f>IF(SUMIF($H$3:V$3,V$3,Sprint!$H5:V5)&gt;0,W5,0)</f>
        <v>2</v>
      </c>
      <c r="AS5" s="10">
        <f>IF(SUMIF($H$3:V$3,V$3,Sprint!$H5:V5)=0,$G5,0)</f>
        <v>0</v>
      </c>
      <c r="AT5" s="9">
        <f>IF(SUMIF($H$3:X$3,X$3,Sprint!$H5:X5)&gt;0,Y5,0)</f>
        <v>0</v>
      </c>
      <c r="AU5" s="10">
        <f>IF(SUMIF($H$3:X$3,X$3,Sprint!$H5:X5)=0,$G5,0)</f>
        <v>0</v>
      </c>
      <c r="AV5" s="9">
        <f>IF(SUMIF($H$3:Z$3,Z$3,Sprint!$H5:Z5)&gt;0,AA5,0)</f>
        <v>0</v>
      </c>
      <c r="AW5" s="10">
        <f>IF(SUMIF($H$3:Z$3,Z$3,Sprint!$H5:Z5)=0,$G5,0)</f>
        <v>0</v>
      </c>
      <c r="AX5" s="7">
        <f t="shared" ref="AX5:AX31" ca="1" si="3">IF(COUNTA($H5:$AA5)&gt;0,_xlfn.IFNA(INDIRECT(ADDRESS(ROW($H5),LOOKUP(2,1/($H5:$AA5&lt;&gt;""),COLUMN($H5:$AA5)))),""),$G5)</f>
        <v>0</v>
      </c>
    </row>
    <row r="6" spans="1:53" ht="15" hidden="1" thickTop="1" x14ac:dyDescent="0.3">
      <c r="A6" s="13">
        <v>4</v>
      </c>
      <c r="B6" s="9">
        <f t="shared" ca="1" si="0"/>
        <v>3</v>
      </c>
      <c r="C6" s="9" t="s">
        <v>107</v>
      </c>
      <c r="D6" s="9">
        <v>17</v>
      </c>
      <c r="E6" s="9" t="str">
        <f t="shared" ca="1" si="1"/>
        <v>Task 9</v>
      </c>
      <c r="F6" s="9" t="s">
        <v>19</v>
      </c>
      <c r="G6" s="9">
        <v>48</v>
      </c>
      <c r="H6" s="9"/>
      <c r="I6" s="10"/>
      <c r="J6" s="9"/>
      <c r="K6" s="9"/>
      <c r="L6" s="9"/>
      <c r="M6" s="9"/>
      <c r="N6" s="9"/>
      <c r="O6" s="9"/>
      <c r="P6" s="9"/>
      <c r="Q6" s="9"/>
      <c r="R6" s="9"/>
      <c r="S6" s="9"/>
      <c r="T6" s="9">
        <v>6</v>
      </c>
      <c r="U6" s="9">
        <v>42</v>
      </c>
      <c r="V6" s="9">
        <v>8</v>
      </c>
      <c r="W6" s="9">
        <v>36</v>
      </c>
      <c r="X6" s="9"/>
      <c r="Y6" s="9">
        <v>8</v>
      </c>
      <c r="Z6" s="9">
        <v>8</v>
      </c>
      <c r="AA6" s="9">
        <v>0</v>
      </c>
      <c r="AB6" s="54">
        <f>G6-SUMIF($H$3:$AA$3,H$3,Sprint!$H6:$AA6)</f>
        <v>26</v>
      </c>
      <c r="AC6" s="9">
        <f t="shared" ca="1" si="2"/>
        <v>26</v>
      </c>
      <c r="AD6" s="9">
        <f>IF(SUMIF($H$3:H$3,H$3,Sprint!$H6:H6)&gt;0,I6,0)</f>
        <v>0</v>
      </c>
      <c r="AE6" s="10">
        <f>IF(SUMIF($H$3:H$3,H$3,Sprint!$H6:H6)=0,$G6,0)</f>
        <v>48</v>
      </c>
      <c r="AF6" s="9">
        <f>IF(SUMIF($H$3:J$3,J$3,Sprint!$H6:J6)&gt;0,K6,0)</f>
        <v>0</v>
      </c>
      <c r="AG6" s="10">
        <f>IF(SUMIF($H$3:J$3,J$3,Sprint!$H6:J6)=0,$G6,0)</f>
        <v>48</v>
      </c>
      <c r="AH6" s="9">
        <f>IF(SUMIF($H$3:L$3,L$3,Sprint!$H6:L6)&gt;0,M6,0)</f>
        <v>0</v>
      </c>
      <c r="AI6" s="10">
        <f>IF(SUMIF($H$3:L$3,L$3,Sprint!$H6:L6)=0,$G6,0)</f>
        <v>48</v>
      </c>
      <c r="AJ6" s="9">
        <f>IF(SUMIF($H$3:N$3,N$3,Sprint!$H6:N6)&gt;0,O6,0)</f>
        <v>0</v>
      </c>
      <c r="AK6" s="10">
        <f>IF(SUMIF($H$3:N$3,N$3,Sprint!$H6:N6)=0,$G6,0)</f>
        <v>48</v>
      </c>
      <c r="AL6" s="9">
        <f>IF(SUMIF($H$3:P$3,P$3,Sprint!$H6:P6)&gt;0,Q6,0)</f>
        <v>0</v>
      </c>
      <c r="AM6" s="10">
        <f>IF(SUMIF($H$3:P$3,P$3,Sprint!$H6:P6)=0,$G6,0)</f>
        <v>48</v>
      </c>
      <c r="AN6" s="9">
        <f>IF(SUMIF($H$3:R$3,R$3,Sprint!$H6:R6)&gt;0,S6,0)</f>
        <v>0</v>
      </c>
      <c r="AO6" s="10">
        <f>IF(SUMIF($H$3:R$3,R$3,Sprint!$H6:R6)=0,$G6,0)</f>
        <v>48</v>
      </c>
      <c r="AP6" s="9">
        <f>IF(SUMIF($H$3:T$3,T$3,Sprint!$H6:T6)&gt;0,U6,0)</f>
        <v>42</v>
      </c>
      <c r="AQ6" s="10">
        <f>IF(SUMIF($H$3:T$3,T$3,Sprint!$H6:T6)=0,$G6,0)</f>
        <v>0</v>
      </c>
      <c r="AR6" s="9">
        <f>IF(SUMIF($H$3:V$3,V$3,Sprint!$H6:V6)&gt;0,W6,0)</f>
        <v>36</v>
      </c>
      <c r="AS6" s="10">
        <f>IF(SUMIF($H$3:V$3,V$3,Sprint!$H6:V6)=0,$G6,0)</f>
        <v>0</v>
      </c>
      <c r="AT6" s="9">
        <f>IF(SUMIF($H$3:X$3,X$3,Sprint!$H6:X6)&gt;0,Y6,0)</f>
        <v>8</v>
      </c>
      <c r="AU6" s="10">
        <f>IF(SUMIF($H$3:X$3,X$3,Sprint!$H6:X6)=0,$G6,0)</f>
        <v>0</v>
      </c>
      <c r="AV6" s="9">
        <f>IF(SUMIF($H$3:Z$3,Z$3,Sprint!$H6:Z6)&gt;0,AA6,0)</f>
        <v>0</v>
      </c>
      <c r="AW6" s="10">
        <f>IF(SUMIF($H$3:Z$3,Z$3,Sprint!$H6:Z6)=0,$G6,0)</f>
        <v>0</v>
      </c>
      <c r="AX6" s="9">
        <f t="shared" ca="1" si="3"/>
        <v>0</v>
      </c>
    </row>
    <row r="7" spans="1:53" ht="15" thickTop="1" x14ac:dyDescent="0.3">
      <c r="A7" s="13">
        <v>1</v>
      </c>
      <c r="B7" s="9">
        <f t="shared" ca="1" si="0"/>
        <v>1</v>
      </c>
      <c r="C7" s="9" t="s">
        <v>105</v>
      </c>
      <c r="D7" s="9">
        <v>5</v>
      </c>
      <c r="E7" s="9" t="str">
        <f t="shared" ca="1" si="1"/>
        <v>Task 3</v>
      </c>
      <c r="F7" s="9" t="s">
        <v>19</v>
      </c>
      <c r="G7" s="9">
        <v>20</v>
      </c>
      <c r="H7" s="9"/>
      <c r="I7" s="10"/>
      <c r="J7" s="9"/>
      <c r="K7" s="9"/>
      <c r="L7" s="9"/>
      <c r="M7" s="9"/>
      <c r="N7" s="9">
        <v>2</v>
      </c>
      <c r="O7" s="9"/>
      <c r="P7" s="9"/>
      <c r="Q7" s="9"/>
      <c r="R7" s="9"/>
      <c r="S7" s="9"/>
      <c r="T7" s="9"/>
      <c r="U7" s="9"/>
      <c r="V7" s="9"/>
      <c r="W7" s="9"/>
      <c r="X7" s="9">
        <v>8</v>
      </c>
      <c r="Y7" s="9">
        <v>12</v>
      </c>
      <c r="Z7" s="9">
        <v>8</v>
      </c>
      <c r="AA7" s="9">
        <v>8</v>
      </c>
      <c r="AB7" s="54">
        <f>G7-SUMIF($H$3:$AA$3,H$3,Sprint!$H7:$AA7)</f>
        <v>2</v>
      </c>
      <c r="AC7" s="9">
        <f t="shared" ca="1" si="2"/>
        <v>-6</v>
      </c>
      <c r="AD7" s="55">
        <f>IF(SUMIF($H$3:H$3,H$3,Sprint!$H7:H7)&gt;0,I7,0)</f>
        <v>0</v>
      </c>
      <c r="AE7" s="56">
        <f>IF(SUMIF($H$3:H$3,H$3,Sprint!$H7:H7)=0,$G7,0)</f>
        <v>20</v>
      </c>
      <c r="AF7" s="55">
        <f>IF(SUMIF($H$3:J$3,J$3,Sprint!$H7:J7)&gt;0,K7,0)</f>
        <v>0</v>
      </c>
      <c r="AG7" s="56">
        <f>IF(SUMIF($H$3:J$3,J$3,Sprint!$H7:J7)=0,$G7,0)</f>
        <v>20</v>
      </c>
      <c r="AH7" s="55">
        <f>IF(SUMIF($H$3:L$3,L$3,Sprint!$H7:L7)&gt;0,M7,0)</f>
        <v>0</v>
      </c>
      <c r="AI7" s="56">
        <f>IF(SUMIF($H$3:L$3,L$3,Sprint!$H7:L7)=0,$G7,0)</f>
        <v>20</v>
      </c>
      <c r="AJ7" s="55">
        <f>IF(SUMIF($H$3:N$3,N$3,Sprint!$H7:N7)&gt;0,O7,0)</f>
        <v>0</v>
      </c>
      <c r="AK7" s="56">
        <f>IF(SUMIF($H$3:N$3,N$3,Sprint!$H7:N7)=0,$G7,0)</f>
        <v>0</v>
      </c>
      <c r="AL7" s="55">
        <f>IF(SUMIF($H$3:P$3,P$3,Sprint!$H7:P7)&gt;0,Q7,0)</f>
        <v>0</v>
      </c>
      <c r="AM7" s="56">
        <f>IF(SUMIF($H$3:P$3,P$3,Sprint!$H7:P7)=0,$G7,0)</f>
        <v>0</v>
      </c>
      <c r="AN7" s="55">
        <f>IF(SUMIF($H$3:R$3,R$3,Sprint!$H7:R7)&gt;0,S7,0)</f>
        <v>0</v>
      </c>
      <c r="AO7" s="56">
        <f>IF(SUMIF($H$3:R$3,R$3,Sprint!$H7:R7)=0,$G7,0)</f>
        <v>0</v>
      </c>
      <c r="AP7" s="55">
        <f>IF(SUMIF($H$3:T$3,T$3,Sprint!$H7:T7)&gt;0,U7,0)</f>
        <v>0</v>
      </c>
      <c r="AQ7" s="56">
        <f>IF(SUMIF($H$3:T$3,T$3,Sprint!$H7:T7)=0,$G7,0)</f>
        <v>0</v>
      </c>
      <c r="AR7" s="55">
        <f>IF(SUMIF($H$3:V$3,V$3,Sprint!$H7:V7)&gt;0,W7,0)</f>
        <v>0</v>
      </c>
      <c r="AS7" s="56">
        <f>IF(SUMIF($H$3:V$3,V$3,Sprint!$H7:V7)=0,$G7,0)</f>
        <v>0</v>
      </c>
      <c r="AT7" s="55">
        <f>IF(SUMIF($H$3:X$3,X$3,Sprint!$H7:X7)&gt;0,Y7,0)</f>
        <v>12</v>
      </c>
      <c r="AU7" s="56">
        <f>IF(SUMIF($H$3:X$3,X$3,Sprint!$H7:X7)=0,$G7,0)</f>
        <v>0</v>
      </c>
      <c r="AV7" s="55">
        <f>IF(SUMIF($H$3:Z$3,Z$3,Sprint!$H7:Z7)&gt;0,AA7,0)</f>
        <v>8</v>
      </c>
      <c r="AW7" s="56">
        <f>IF(SUMIF($H$3:Z$3,Z$3,Sprint!$H7:Z7)=0,$G7,0)</f>
        <v>0</v>
      </c>
      <c r="AX7" s="9">
        <f t="shared" ca="1" si="3"/>
        <v>8</v>
      </c>
    </row>
    <row r="8" spans="1:53" x14ac:dyDescent="0.3">
      <c r="A8" s="13">
        <v>1</v>
      </c>
      <c r="B8" s="9">
        <f t="shared" ca="1" si="0"/>
        <v>2</v>
      </c>
      <c r="C8" s="9" t="s">
        <v>106</v>
      </c>
      <c r="D8" s="9">
        <v>11</v>
      </c>
      <c r="E8" s="9" t="str">
        <f t="shared" ca="1" si="1"/>
        <v>Task 6</v>
      </c>
      <c r="F8" s="9" t="s">
        <v>19</v>
      </c>
      <c r="G8" s="9">
        <v>40</v>
      </c>
      <c r="H8" s="9"/>
      <c r="I8" s="10"/>
      <c r="J8" s="9"/>
      <c r="K8" s="9"/>
      <c r="L8" s="9"/>
      <c r="M8" s="9"/>
      <c r="N8" s="9"/>
      <c r="O8" s="9"/>
      <c r="P8" s="9"/>
      <c r="Q8" s="9"/>
      <c r="R8" s="9">
        <v>8</v>
      </c>
      <c r="S8" s="10">
        <v>32</v>
      </c>
      <c r="T8" s="9">
        <v>8</v>
      </c>
      <c r="U8" s="9">
        <v>24</v>
      </c>
      <c r="V8" s="9">
        <v>8</v>
      </c>
      <c r="W8" s="9">
        <v>16</v>
      </c>
      <c r="X8" s="9">
        <v>8</v>
      </c>
      <c r="Y8" s="9">
        <v>8</v>
      </c>
      <c r="Z8" s="9">
        <v>8</v>
      </c>
      <c r="AA8" s="9">
        <v>0</v>
      </c>
      <c r="AB8" s="54">
        <f>G8-SUMIF($H$3:$AA$3,H$3,Sprint!$H8:$AA8)</f>
        <v>0</v>
      </c>
      <c r="AC8" s="9">
        <f t="shared" ca="1" si="2"/>
        <v>0</v>
      </c>
      <c r="AD8" s="9">
        <f>IF(SUMIF($H$3:H$3,H$3,Sprint!$H8:H8)&gt;0,I8,0)</f>
        <v>0</v>
      </c>
      <c r="AE8" s="10">
        <f>IF(SUMIF($H$3:H$3,H$3,Sprint!$H8:H8)=0,$G8,0)</f>
        <v>40</v>
      </c>
      <c r="AF8" s="9">
        <f>IF(SUMIF($H$3:J$3,J$3,Sprint!$H8:J8)&gt;0,K8,0)</f>
        <v>0</v>
      </c>
      <c r="AG8" s="10">
        <f>IF(SUMIF($H$3:J$3,J$3,Sprint!$H8:J8)=0,$G8,0)</f>
        <v>40</v>
      </c>
      <c r="AH8" s="9">
        <f>IF(SUMIF($H$3:L$3,L$3,Sprint!$H8:L8)&gt;0,M8,0)</f>
        <v>0</v>
      </c>
      <c r="AI8" s="10">
        <f>IF(SUMIF($H$3:L$3,L$3,Sprint!$H8:L8)=0,$G8,0)</f>
        <v>40</v>
      </c>
      <c r="AJ8" s="9">
        <f>IF(SUMIF($H$3:N$3,N$3,Sprint!$H8:N8)&gt;0,O8,0)</f>
        <v>0</v>
      </c>
      <c r="AK8" s="10">
        <f>IF(SUMIF($H$3:N$3,N$3,Sprint!$H8:N8)=0,$G8,0)</f>
        <v>40</v>
      </c>
      <c r="AL8" s="9">
        <f>IF(SUMIF($H$3:P$3,P$3,Sprint!$H8:P8)&gt;0,Q8,0)</f>
        <v>0</v>
      </c>
      <c r="AM8" s="10">
        <f>IF(SUMIF($H$3:P$3,P$3,Sprint!$H8:P8)=0,$G8,0)</f>
        <v>40</v>
      </c>
      <c r="AN8" s="9">
        <f>IF(SUMIF($H$3:R$3,R$3,Sprint!$H8:R8)&gt;0,S8,0)</f>
        <v>32</v>
      </c>
      <c r="AO8" s="10">
        <f>IF(SUMIF($H$3:R$3,R$3,Sprint!$H8:R8)=0,$G8,0)</f>
        <v>0</v>
      </c>
      <c r="AP8" s="9">
        <f>IF(SUMIF($H$3:T$3,T$3,Sprint!$H8:T8)&gt;0,U8,0)</f>
        <v>24</v>
      </c>
      <c r="AQ8" s="10">
        <f>IF(SUMIF($H$3:T$3,T$3,Sprint!$H8:T8)=0,$G8,0)</f>
        <v>0</v>
      </c>
      <c r="AR8" s="9">
        <f>IF(SUMIF($H$3:V$3,V$3,Sprint!$H8:V8)&gt;0,W8,0)</f>
        <v>16</v>
      </c>
      <c r="AS8" s="10">
        <f>IF(SUMIF($H$3:V$3,V$3,Sprint!$H8:V8)=0,$G8,0)</f>
        <v>0</v>
      </c>
      <c r="AT8" s="9">
        <f>IF(SUMIF($H$3:X$3,X$3,Sprint!$H8:X8)&gt;0,Y8,0)</f>
        <v>8</v>
      </c>
      <c r="AU8" s="10">
        <f>IF(SUMIF($H$3:X$3,X$3,Sprint!$H8:X8)=0,$G8,0)</f>
        <v>0</v>
      </c>
      <c r="AV8" s="9">
        <f>IF(SUMIF($H$3:Z$3,Z$3,Sprint!$H8:Z8)&gt;0,AA8,0)</f>
        <v>0</v>
      </c>
      <c r="AW8" s="10">
        <f>IF(SUMIF($H$3:Z$3,Z$3,Sprint!$H8:Z8)=0,$G8,0)</f>
        <v>0</v>
      </c>
      <c r="AX8" s="9">
        <f t="shared" ca="1" si="3"/>
        <v>0</v>
      </c>
    </row>
    <row r="9" spans="1:53" x14ac:dyDescent="0.3">
      <c r="A9" s="13">
        <v>1</v>
      </c>
      <c r="B9" s="9">
        <f t="shared" ca="1" si="0"/>
        <v>1</v>
      </c>
      <c r="C9" s="9" t="s">
        <v>105</v>
      </c>
      <c r="D9" s="9">
        <v>1</v>
      </c>
      <c r="E9" s="9" t="str">
        <f t="shared" ca="1" si="1"/>
        <v>Task 1</v>
      </c>
      <c r="F9" s="9" t="s">
        <v>136</v>
      </c>
      <c r="G9" s="9">
        <v>30</v>
      </c>
      <c r="H9" s="9">
        <v>6</v>
      </c>
      <c r="I9" s="10">
        <v>24</v>
      </c>
      <c r="J9" s="9">
        <v>7</v>
      </c>
      <c r="K9" s="9">
        <v>17</v>
      </c>
      <c r="L9" s="9">
        <v>6</v>
      </c>
      <c r="M9" s="9">
        <v>11</v>
      </c>
      <c r="N9" s="9">
        <v>5</v>
      </c>
      <c r="O9" s="9">
        <v>8</v>
      </c>
      <c r="P9" s="9">
        <v>8</v>
      </c>
      <c r="Q9" s="9">
        <v>0</v>
      </c>
      <c r="R9" s="9"/>
      <c r="S9" s="9"/>
      <c r="T9" s="9"/>
      <c r="U9" s="9"/>
      <c r="V9" s="9"/>
      <c r="W9" s="9"/>
      <c r="X9" s="9"/>
      <c r="Y9" s="9"/>
      <c r="Z9" s="9"/>
      <c r="AA9" s="9"/>
      <c r="AB9" s="54">
        <f>G9-SUMIF($H$3:$AA$3,H$3,Sprint!$H9:$AA9)</f>
        <v>-2</v>
      </c>
      <c r="AC9" s="9">
        <f t="shared" ref="AC9:AC11" ca="1" si="4">_xlfn.IFNA(IF(INDIRECT(ADDRESS(3,LOOKUP(2,1/(H9:AA9&lt;&gt;""),COLUMN(H9:AA9))))="Left",AB9-INDIRECT(ADDRESS(ROW(H9),LOOKUP(2,1/(H9:AA9&lt;&gt;""),COLUMN(H9:AA9)))),AB9),"")</f>
        <v>-2</v>
      </c>
      <c r="AD9" s="9">
        <f>IF(SUMIF($H$3:H$3,H$3,Sprint!$H9:H9)&gt;0,I9,0)</f>
        <v>24</v>
      </c>
      <c r="AE9" s="10">
        <f>IF(SUMIF($H$3:H$3,H$3,Sprint!$H9:H9)=0,$G9,0)</f>
        <v>0</v>
      </c>
      <c r="AF9" s="9">
        <f>IF(SUMIF($H$3:J$3,J$3,Sprint!$H9:J9)&gt;0,K9,0)</f>
        <v>17</v>
      </c>
      <c r="AG9" s="10">
        <f>IF(SUMIF($H$3:J$3,J$3,Sprint!$H9:J9)=0,$G9,0)</f>
        <v>0</v>
      </c>
      <c r="AH9" s="9">
        <f>IF(SUMIF($H$3:L$3,L$3,Sprint!$H9:L9)&gt;0,M9,0)</f>
        <v>11</v>
      </c>
      <c r="AI9" s="10">
        <f>IF(SUMIF($H$3:L$3,L$3,Sprint!$H9:L9)=0,$G9,0)</f>
        <v>0</v>
      </c>
      <c r="AJ9" s="9">
        <f>IF(SUMIF($H$3:N$3,N$3,Sprint!$H9:N9)&gt;0,O9,0)</f>
        <v>8</v>
      </c>
      <c r="AK9" s="10">
        <f>IF(SUMIF($H$3:N$3,N$3,Sprint!$H9:N9)=0,$G9,0)</f>
        <v>0</v>
      </c>
      <c r="AL9" s="9">
        <f>IF(SUMIF($H$3:P$3,P$3,Sprint!$H9:P9)&gt;0,Q9,0)</f>
        <v>0</v>
      </c>
      <c r="AM9" s="10">
        <f>IF(SUMIF($H$3:P$3,P$3,Sprint!$H9:P9)=0,$G9,0)</f>
        <v>0</v>
      </c>
      <c r="AN9" s="9">
        <f>IF(SUMIF($H$3:R$3,R$3,Sprint!$H9:R9)&gt;0,S9,0)</f>
        <v>0</v>
      </c>
      <c r="AO9" s="10">
        <f>IF(SUMIF($H$3:R$3,R$3,Sprint!$H9:R9)=0,$G9,0)</f>
        <v>0</v>
      </c>
      <c r="AP9" s="9">
        <f>IF(SUMIF($H$3:T$3,T$3,Sprint!$H9:T9)&gt;0,U9,0)</f>
        <v>0</v>
      </c>
      <c r="AQ9" s="10">
        <f>IF(SUMIF($H$3:T$3,T$3,Sprint!$H9:T9)=0,$G9,0)</f>
        <v>0</v>
      </c>
      <c r="AR9" s="9">
        <f>IF(SUMIF($H$3:V$3,V$3,Sprint!$H9:V9)&gt;0,W9,0)</f>
        <v>0</v>
      </c>
      <c r="AS9" s="10">
        <f>IF(SUMIF($H$3:V$3,V$3,Sprint!$H9:V9)=0,$G9,0)</f>
        <v>0</v>
      </c>
      <c r="AT9" s="9">
        <f>IF(SUMIF($H$3:X$3,X$3,Sprint!$H9:X9)&gt;0,Y9,0)</f>
        <v>0</v>
      </c>
      <c r="AU9" s="10">
        <f>IF(SUMIF($H$3:X$3,X$3,Sprint!$H9:X9)=0,$G9,0)</f>
        <v>0</v>
      </c>
      <c r="AV9" s="9">
        <f>IF(SUMIF($H$3:Z$3,Z$3,Sprint!$H9:Z9)&gt;0,AA9,0)</f>
        <v>0</v>
      </c>
      <c r="AW9" s="10">
        <f>IF(SUMIF($H$3:Z$3,Z$3,Sprint!$H9:Z9)=0,$G9,0)</f>
        <v>0</v>
      </c>
      <c r="AX9" s="9">
        <f t="shared" ca="1" si="3"/>
        <v>0</v>
      </c>
    </row>
    <row r="10" spans="1:53" hidden="1" x14ac:dyDescent="0.3">
      <c r="A10" s="13">
        <v>4</v>
      </c>
      <c r="B10" s="9">
        <f t="shared" ca="1" si="0"/>
        <v>3</v>
      </c>
      <c r="C10" s="9" t="s">
        <v>107</v>
      </c>
      <c r="D10" s="9">
        <v>17</v>
      </c>
      <c r="E10" s="9" t="str">
        <f t="shared" ca="1" si="1"/>
        <v>Task 9</v>
      </c>
      <c r="F10" s="9" t="s">
        <v>19</v>
      </c>
      <c r="G10" s="9">
        <v>10</v>
      </c>
      <c r="H10" s="9"/>
      <c r="I10" s="10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>
        <v>8</v>
      </c>
      <c r="AA10" s="9">
        <v>0</v>
      </c>
      <c r="AB10" s="54">
        <f>G10-SUMIF($H$3:$AA$3,H$3,Sprint!$H10:$AA10)</f>
        <v>2</v>
      </c>
      <c r="AC10" s="9">
        <f t="shared" ca="1" si="4"/>
        <v>2</v>
      </c>
      <c r="AD10" s="9">
        <f>IF(SUMIF($H$3:H$3,H$3,Sprint!$H10:H10)&gt;0,I10,0)</f>
        <v>0</v>
      </c>
      <c r="AE10" s="10">
        <f>IF(SUMIF($H$3:H$3,H$3,Sprint!$H10:H10)=0,$G10,0)</f>
        <v>10</v>
      </c>
      <c r="AF10" s="9">
        <f>IF(SUMIF($H$3:J$3,J$3,Sprint!$H10:J10)&gt;0,K10,0)</f>
        <v>0</v>
      </c>
      <c r="AG10" s="10">
        <f>IF(SUMIF($H$3:J$3,J$3,Sprint!$H10:J10)=0,$G10,0)</f>
        <v>10</v>
      </c>
      <c r="AH10" s="9">
        <f>IF(SUMIF($H$3:L$3,L$3,Sprint!$H10:L10)&gt;0,M10,0)</f>
        <v>0</v>
      </c>
      <c r="AI10" s="10">
        <f>IF(SUMIF($H$3:L$3,L$3,Sprint!$H10:L10)=0,$G10,0)</f>
        <v>10</v>
      </c>
      <c r="AJ10" s="9">
        <f>IF(SUMIF($H$3:N$3,N$3,Sprint!$H10:N10)&gt;0,O10,0)</f>
        <v>0</v>
      </c>
      <c r="AK10" s="10">
        <f>IF(SUMIF($H$3:N$3,N$3,Sprint!$H10:N10)=0,$G10,0)</f>
        <v>10</v>
      </c>
      <c r="AL10" s="9">
        <f>IF(SUMIF($H$3:P$3,P$3,Sprint!$H10:P10)&gt;0,Q10,0)</f>
        <v>0</v>
      </c>
      <c r="AM10" s="10">
        <f>IF(SUMIF($H$3:P$3,P$3,Sprint!$H10:P10)=0,$G10,0)</f>
        <v>10</v>
      </c>
      <c r="AN10" s="9">
        <f>IF(SUMIF($H$3:R$3,R$3,Sprint!$H10:R10)&gt;0,S10,0)</f>
        <v>0</v>
      </c>
      <c r="AO10" s="10">
        <f>IF(SUMIF($H$3:R$3,R$3,Sprint!$H10:R10)=0,$G10,0)</f>
        <v>10</v>
      </c>
      <c r="AP10" s="9">
        <f>IF(SUMIF($H$3:T$3,T$3,Sprint!$H10:T10)&gt;0,U10,0)</f>
        <v>0</v>
      </c>
      <c r="AQ10" s="10">
        <f>IF(SUMIF($H$3:T$3,T$3,Sprint!$H10:T10)=0,$G10,0)</f>
        <v>10</v>
      </c>
      <c r="AR10" s="9">
        <f>IF(SUMIF($H$3:V$3,V$3,Sprint!$H10:V10)&gt;0,W10,0)</f>
        <v>0</v>
      </c>
      <c r="AS10" s="10">
        <f>IF(SUMIF($H$3:V$3,V$3,Sprint!$H10:V10)=0,$G10,0)</f>
        <v>10</v>
      </c>
      <c r="AT10" s="9">
        <f>IF(SUMIF($H$3:X$3,X$3,Sprint!$H10:X10)&gt;0,Y10,0)</f>
        <v>0</v>
      </c>
      <c r="AU10" s="10">
        <f>IF(SUMIF($H$3:X$3,X$3,Sprint!$H10:X10)=0,$G10,0)</f>
        <v>10</v>
      </c>
      <c r="AV10" s="9">
        <f>IF(SUMIF($H$3:Z$3,Z$3,Sprint!$H10:Z10)&gt;0,AA10,0)</f>
        <v>0</v>
      </c>
      <c r="AW10" s="10">
        <f>IF(SUMIF($H$3:Z$3,Z$3,Sprint!$H10:Z10)=0,$G10,0)</f>
        <v>0</v>
      </c>
      <c r="AX10" s="9">
        <f t="shared" ca="1" si="3"/>
        <v>0</v>
      </c>
    </row>
    <row r="11" spans="1:53" hidden="1" x14ac:dyDescent="0.3">
      <c r="A11" s="13">
        <v>4</v>
      </c>
      <c r="B11" s="9">
        <f t="shared" ca="1" si="0"/>
        <v>3</v>
      </c>
      <c r="C11" s="9" t="s">
        <v>107</v>
      </c>
      <c r="D11" s="9">
        <v>17</v>
      </c>
      <c r="E11" s="9" t="str">
        <f t="shared" ca="1" si="1"/>
        <v>Task 9</v>
      </c>
      <c r="F11" s="9" t="s">
        <v>20</v>
      </c>
      <c r="G11" s="9">
        <v>35</v>
      </c>
      <c r="H11" s="9">
        <v>6</v>
      </c>
      <c r="I11" s="10">
        <v>24</v>
      </c>
      <c r="J11" s="9">
        <v>6</v>
      </c>
      <c r="K11" s="9">
        <v>18</v>
      </c>
      <c r="L11" s="9">
        <v>6</v>
      </c>
      <c r="M11" s="9">
        <v>12</v>
      </c>
      <c r="N11" s="9">
        <v>6</v>
      </c>
      <c r="O11" s="9">
        <v>6</v>
      </c>
      <c r="P11" s="9">
        <v>6</v>
      </c>
      <c r="Q11" s="9">
        <v>2</v>
      </c>
      <c r="R11" s="9">
        <v>8</v>
      </c>
      <c r="S11" s="9">
        <v>0</v>
      </c>
      <c r="T11" s="9"/>
      <c r="U11" s="9"/>
      <c r="V11" s="9"/>
      <c r="W11" s="9"/>
      <c r="X11" s="9"/>
      <c r="Y11" s="9"/>
      <c r="Z11" s="9"/>
      <c r="AA11" s="9"/>
      <c r="AB11" s="54">
        <f>G11-SUMIF($H$3:$AA$3,H$3,Sprint!$H11:$AA11)</f>
        <v>-3</v>
      </c>
      <c r="AC11" s="9">
        <f t="shared" ca="1" si="4"/>
        <v>-3</v>
      </c>
      <c r="AD11" s="9">
        <f>IF(SUMIF($H$3:H$3,H$3,Sprint!$H11:H11)&gt;0,I11,0)</f>
        <v>24</v>
      </c>
      <c r="AE11" s="10">
        <f>IF(SUMIF($H$3:H$3,H$3,Sprint!$H11:H11)=0,$G11,0)</f>
        <v>0</v>
      </c>
      <c r="AF11" s="9">
        <f>IF(SUMIF($H$3:J$3,J$3,Sprint!$H11:J11)&gt;0,K11,0)</f>
        <v>18</v>
      </c>
      <c r="AG11" s="10">
        <f>IF(SUMIF($H$3:J$3,J$3,Sprint!$H11:J11)=0,$G11,0)</f>
        <v>0</v>
      </c>
      <c r="AH11" s="9">
        <f>IF(SUMIF($H$3:L$3,L$3,Sprint!$H11:L11)&gt;0,M11,0)</f>
        <v>12</v>
      </c>
      <c r="AI11" s="10">
        <f>IF(SUMIF($H$3:L$3,L$3,Sprint!$H11:L11)=0,$G11,0)</f>
        <v>0</v>
      </c>
      <c r="AJ11" s="9">
        <f>IF(SUMIF($H$3:N$3,N$3,Sprint!$H11:N11)&gt;0,O11,0)</f>
        <v>6</v>
      </c>
      <c r="AK11" s="10">
        <f>IF(SUMIF($H$3:N$3,N$3,Sprint!$H11:N11)=0,$G11,0)</f>
        <v>0</v>
      </c>
      <c r="AL11" s="9">
        <f>IF(SUMIF($H$3:P$3,P$3,Sprint!$H11:P11)&gt;0,Q11,0)</f>
        <v>2</v>
      </c>
      <c r="AM11" s="10">
        <f>IF(SUMIF($H$3:P$3,P$3,Sprint!$H11:P11)=0,$G11,0)</f>
        <v>0</v>
      </c>
      <c r="AN11" s="9">
        <f>IF(SUMIF($H$3:R$3,R$3,Sprint!$H11:R11)&gt;0,S11,0)</f>
        <v>0</v>
      </c>
      <c r="AO11" s="10">
        <f>IF(SUMIF($H$3:R$3,R$3,Sprint!$H11:R11)=0,$G11,0)</f>
        <v>0</v>
      </c>
      <c r="AP11" s="9">
        <f>IF(SUMIF($H$3:T$3,T$3,Sprint!$H11:T11)&gt;0,U11,0)</f>
        <v>0</v>
      </c>
      <c r="AQ11" s="10">
        <f>IF(SUMIF($H$3:T$3,T$3,Sprint!$H11:T11)=0,$G11,0)</f>
        <v>0</v>
      </c>
      <c r="AR11" s="9">
        <f>IF(SUMIF($H$3:V$3,V$3,Sprint!$H11:V11)&gt;0,W11,0)</f>
        <v>0</v>
      </c>
      <c r="AS11" s="10">
        <f>IF(SUMIF($H$3:V$3,V$3,Sprint!$H11:V11)=0,$G11,0)</f>
        <v>0</v>
      </c>
      <c r="AT11" s="9">
        <f>IF(SUMIF($H$3:X$3,X$3,Sprint!$H11:X11)&gt;0,Y11,0)</f>
        <v>0</v>
      </c>
      <c r="AU11" s="10">
        <f>IF(SUMIF($H$3:X$3,X$3,Sprint!$H11:X11)=0,$G11,0)</f>
        <v>0</v>
      </c>
      <c r="AV11" s="9">
        <f>IF(SUMIF($H$3:Z$3,Z$3,Sprint!$H11:Z11)&gt;0,AA11,0)</f>
        <v>0</v>
      </c>
      <c r="AW11" s="10">
        <f>IF(SUMIF($H$3:Z$3,Z$3,Sprint!$H11:Z11)=0,$G11,0)</f>
        <v>0</v>
      </c>
      <c r="AX11" s="9">
        <f t="shared" ca="1" si="3"/>
        <v>0</v>
      </c>
    </row>
    <row r="12" spans="1:53" x14ac:dyDescent="0.3">
      <c r="A12" s="13">
        <v>1</v>
      </c>
      <c r="B12" s="9">
        <f t="shared" ca="1" si="0"/>
        <v>4</v>
      </c>
      <c r="C12" s="9" t="s">
        <v>108</v>
      </c>
      <c r="D12" s="9">
        <v>4</v>
      </c>
      <c r="E12" s="9" t="str">
        <f t="shared" ca="1" si="1"/>
        <v>Task 11</v>
      </c>
      <c r="F12" s="9" t="s">
        <v>20</v>
      </c>
      <c r="G12" s="9">
        <v>35</v>
      </c>
      <c r="H12" s="9">
        <v>2</v>
      </c>
      <c r="I12" s="10">
        <v>48</v>
      </c>
      <c r="J12" s="9">
        <v>2</v>
      </c>
      <c r="K12" s="9">
        <v>46</v>
      </c>
      <c r="L12" s="9">
        <v>2</v>
      </c>
      <c r="M12" s="9">
        <v>44</v>
      </c>
      <c r="N12" s="9">
        <v>2</v>
      </c>
      <c r="O12" s="9">
        <v>42</v>
      </c>
      <c r="P12" s="9">
        <v>2</v>
      </c>
      <c r="Q12" s="9">
        <v>40</v>
      </c>
      <c r="R12" s="9">
        <v>2</v>
      </c>
      <c r="S12" s="9">
        <v>32</v>
      </c>
      <c r="T12" s="9">
        <v>8</v>
      </c>
      <c r="U12" s="9">
        <v>22</v>
      </c>
      <c r="V12" s="9">
        <v>8</v>
      </c>
      <c r="W12" s="9">
        <v>16</v>
      </c>
      <c r="X12" s="9">
        <v>8</v>
      </c>
      <c r="Y12" s="9">
        <v>12</v>
      </c>
      <c r="Z12" s="9">
        <v>8</v>
      </c>
      <c r="AA12" s="9">
        <v>6</v>
      </c>
      <c r="AB12" s="54">
        <f>G12-SUMIF($H$3:$AA$3,H$3,Sprint!$H12:$AA12)</f>
        <v>-9</v>
      </c>
      <c r="AC12" s="9">
        <f t="shared" ca="1" si="2"/>
        <v>-15</v>
      </c>
      <c r="AD12" s="9">
        <f>IF(SUMIF($H$3:H$3,H$3,Sprint!$H12:H12)&gt;0,I12,0)</f>
        <v>48</v>
      </c>
      <c r="AE12" s="10">
        <f>IF(SUMIF($H$3:H$3,H$3,Sprint!$H12:H12)=0,$G12,0)</f>
        <v>0</v>
      </c>
      <c r="AF12" s="9">
        <f>IF(SUMIF($H$3:J$3,J$3,Sprint!$H12:J12)&gt;0,K12,0)</f>
        <v>46</v>
      </c>
      <c r="AG12" s="10">
        <f>IF(SUMIF($H$3:J$3,J$3,Sprint!$H12:J12)=0,$G12,0)</f>
        <v>0</v>
      </c>
      <c r="AH12" s="9">
        <f>IF(SUMIF($H$3:L$3,L$3,Sprint!$H12:L12)&gt;0,M12,0)</f>
        <v>44</v>
      </c>
      <c r="AI12" s="10">
        <f>IF(SUMIF($H$3:L$3,L$3,Sprint!$H12:L12)=0,$G12,0)</f>
        <v>0</v>
      </c>
      <c r="AJ12" s="9">
        <f>IF(SUMIF($H$3:N$3,N$3,Sprint!$H12:N12)&gt;0,O12,0)</f>
        <v>42</v>
      </c>
      <c r="AK12" s="10">
        <f>IF(SUMIF($H$3:N$3,N$3,Sprint!$H12:N12)=0,$G12,0)</f>
        <v>0</v>
      </c>
      <c r="AL12" s="9">
        <f>IF(SUMIF($H$3:P$3,P$3,Sprint!$H12:P12)&gt;0,Q12,0)</f>
        <v>40</v>
      </c>
      <c r="AM12" s="10">
        <f>IF(SUMIF($H$3:P$3,P$3,Sprint!$H12:P12)=0,$G12,0)</f>
        <v>0</v>
      </c>
      <c r="AN12" s="9">
        <f>IF(SUMIF($H$3:R$3,R$3,Sprint!$H12:R12)&gt;0,S12,0)</f>
        <v>32</v>
      </c>
      <c r="AO12" s="10">
        <f>IF(SUMIF($H$3:R$3,R$3,Sprint!$H12:R12)=0,$G12,0)</f>
        <v>0</v>
      </c>
      <c r="AP12" s="9">
        <f>IF(SUMIF($H$3:T$3,T$3,Sprint!$H12:T12)&gt;0,U12,0)</f>
        <v>22</v>
      </c>
      <c r="AQ12" s="10">
        <f>IF(SUMIF($H$3:T$3,T$3,Sprint!$H12:T12)=0,$G12,0)</f>
        <v>0</v>
      </c>
      <c r="AR12" s="9">
        <f>IF(SUMIF($H$3:V$3,V$3,Sprint!$H12:V12)&gt;0,W12,0)</f>
        <v>16</v>
      </c>
      <c r="AS12" s="10">
        <f>IF(SUMIF($H$3:V$3,V$3,Sprint!$H12:V12)=0,$G12,0)</f>
        <v>0</v>
      </c>
      <c r="AT12" s="9">
        <f>IF(SUMIF($H$3:X$3,X$3,Sprint!$H12:X12)&gt;0,Y12,0)</f>
        <v>12</v>
      </c>
      <c r="AU12" s="10">
        <f>IF(SUMIF($H$3:X$3,X$3,Sprint!$H12:X12)=0,$G12,0)</f>
        <v>0</v>
      </c>
      <c r="AV12" s="9">
        <f>IF(SUMIF($H$3:Z$3,Z$3,Sprint!$H12:Z12)&gt;0,AA12,0)</f>
        <v>6</v>
      </c>
      <c r="AW12" s="10">
        <f>IF(SUMIF($H$3:Z$3,Z$3,Sprint!$H12:Z12)=0,$G12,0)</f>
        <v>0</v>
      </c>
      <c r="AX12" s="9">
        <f t="shared" ca="1" si="3"/>
        <v>6</v>
      </c>
    </row>
    <row r="13" spans="1:53" x14ac:dyDescent="0.3">
      <c r="A13" s="13">
        <v>1</v>
      </c>
      <c r="B13" s="9">
        <f t="shared" ca="1" si="0"/>
        <v>2</v>
      </c>
      <c r="C13" s="9" t="s">
        <v>106</v>
      </c>
      <c r="D13" s="9">
        <v>3</v>
      </c>
      <c r="E13" s="9" t="str">
        <f t="shared" ca="1" si="1"/>
        <v>Task 2</v>
      </c>
      <c r="F13" s="9" t="s">
        <v>136</v>
      </c>
      <c r="G13" s="9">
        <v>32</v>
      </c>
      <c r="H13" s="9">
        <v>4</v>
      </c>
      <c r="I13" s="10">
        <v>36</v>
      </c>
      <c r="J13" s="9">
        <v>4</v>
      </c>
      <c r="K13" s="9">
        <v>32</v>
      </c>
      <c r="L13" s="9">
        <v>4</v>
      </c>
      <c r="M13" s="9">
        <v>28</v>
      </c>
      <c r="N13" s="9">
        <v>6</v>
      </c>
      <c r="O13" s="9">
        <v>22</v>
      </c>
      <c r="P13" s="9">
        <v>6</v>
      </c>
      <c r="Q13" s="9">
        <v>16</v>
      </c>
      <c r="R13" s="9">
        <v>8</v>
      </c>
      <c r="S13" s="9">
        <v>8</v>
      </c>
      <c r="T13" s="9">
        <v>6</v>
      </c>
      <c r="U13" s="9">
        <v>0</v>
      </c>
      <c r="V13" s="9"/>
      <c r="W13" s="9"/>
      <c r="X13" s="9"/>
      <c r="Y13" s="9"/>
      <c r="Z13" s="9"/>
      <c r="AA13" s="9"/>
      <c r="AB13" s="54">
        <f>G13-SUMIF($H$3:$AA$3,H$3,Sprint!$H13:$AA13)</f>
        <v>-6</v>
      </c>
      <c r="AC13" s="9">
        <f t="shared" ref="AC13:AC30" ca="1" si="5">_xlfn.IFNA(IF(INDIRECT(ADDRESS(3,LOOKUP(2,1/(H13:AA13&lt;&gt;""),COLUMN(H13:AA13))))="Left",AB13-INDIRECT(ADDRESS(ROW(H13),LOOKUP(2,1/(H13:AA13&lt;&gt;""),COLUMN(H13:AA13)))),AB13),"")</f>
        <v>-6</v>
      </c>
      <c r="AD13" s="9">
        <f>IF(SUMIF($H$3:H$3,H$3,Sprint!$H13:H13)&gt;0,I13,0)</f>
        <v>36</v>
      </c>
      <c r="AE13" s="10">
        <f>IF(SUMIF($H$3:H$3,H$3,Sprint!$H13:H13)=0,$G13,0)</f>
        <v>0</v>
      </c>
      <c r="AF13" s="9">
        <f>IF(SUMIF($H$3:J$3,J$3,Sprint!$H13:J13)&gt;0,K13,0)</f>
        <v>32</v>
      </c>
      <c r="AG13" s="10">
        <f>IF(SUMIF($H$3:J$3,J$3,Sprint!$H13:J13)=0,$G13,0)</f>
        <v>0</v>
      </c>
      <c r="AH13" s="9">
        <f>IF(SUMIF($H$3:L$3,L$3,Sprint!$H13:L13)&gt;0,M13,0)</f>
        <v>28</v>
      </c>
      <c r="AI13" s="10">
        <f>IF(SUMIF($H$3:L$3,L$3,Sprint!$H13:L13)=0,$G13,0)</f>
        <v>0</v>
      </c>
      <c r="AJ13" s="9">
        <f>IF(SUMIF($H$3:N$3,N$3,Sprint!$H13:N13)&gt;0,O13,0)</f>
        <v>22</v>
      </c>
      <c r="AK13" s="10">
        <f>IF(SUMIF($H$3:N$3,N$3,Sprint!$H13:N13)=0,$G13,0)</f>
        <v>0</v>
      </c>
      <c r="AL13" s="9">
        <f>IF(SUMIF($H$3:P$3,P$3,Sprint!$H13:P13)&gt;0,Q13,0)</f>
        <v>16</v>
      </c>
      <c r="AM13" s="10">
        <f>IF(SUMIF($H$3:P$3,P$3,Sprint!$H13:P13)=0,$G13,0)</f>
        <v>0</v>
      </c>
      <c r="AN13" s="9">
        <f>IF(SUMIF($H$3:R$3,R$3,Sprint!$H13:R13)&gt;0,S13,0)</f>
        <v>8</v>
      </c>
      <c r="AO13" s="10">
        <f>IF(SUMIF($H$3:R$3,R$3,Sprint!$H13:R13)=0,$G13,0)</f>
        <v>0</v>
      </c>
      <c r="AP13" s="9">
        <f>IF(SUMIF($H$3:T$3,T$3,Sprint!$H13:T13)&gt;0,U13,0)</f>
        <v>0</v>
      </c>
      <c r="AQ13" s="10">
        <f>IF(SUMIF($H$3:T$3,T$3,Sprint!$H13:T13)=0,$G13,0)</f>
        <v>0</v>
      </c>
      <c r="AR13" s="9">
        <f>IF(SUMIF($H$3:V$3,V$3,Sprint!$H13:V13)&gt;0,W13,0)</f>
        <v>0</v>
      </c>
      <c r="AS13" s="10">
        <f>IF(SUMIF($H$3:V$3,V$3,Sprint!$H13:V13)=0,$G13,0)</f>
        <v>0</v>
      </c>
      <c r="AT13" s="9">
        <f>IF(SUMIF($H$3:X$3,X$3,Sprint!$H13:X13)&gt;0,Y13,0)</f>
        <v>0</v>
      </c>
      <c r="AU13" s="10">
        <f>IF(SUMIF($H$3:X$3,X$3,Sprint!$H13:X13)=0,$G13,0)</f>
        <v>0</v>
      </c>
      <c r="AV13" s="9">
        <f>IF(SUMIF($H$3:Z$3,Z$3,Sprint!$H13:Z13)&gt;0,AA13,0)</f>
        <v>0</v>
      </c>
      <c r="AW13" s="10">
        <f>IF(SUMIF($H$3:Z$3,Z$3,Sprint!$H13:Z13)=0,$G13,0)</f>
        <v>0</v>
      </c>
      <c r="AX13" s="9">
        <f t="shared" ca="1" si="3"/>
        <v>0</v>
      </c>
    </row>
    <row r="14" spans="1:53" hidden="1" x14ac:dyDescent="0.3">
      <c r="A14" s="13">
        <v>4</v>
      </c>
      <c r="B14" s="9">
        <f t="shared" ca="1" si="0"/>
        <v>3</v>
      </c>
      <c r="C14" s="9" t="s">
        <v>107</v>
      </c>
      <c r="D14" s="9">
        <v>17</v>
      </c>
      <c r="E14" s="9" t="str">
        <f t="shared" ca="1" si="1"/>
        <v>Task 9</v>
      </c>
      <c r="F14" s="9" t="s">
        <v>19</v>
      </c>
      <c r="G14" s="9">
        <v>2</v>
      </c>
      <c r="H14" s="9"/>
      <c r="I14" s="10"/>
      <c r="J14" s="9">
        <v>4</v>
      </c>
      <c r="K14" s="9">
        <v>2</v>
      </c>
      <c r="L14" s="9"/>
      <c r="M14" s="9"/>
      <c r="N14" s="9">
        <v>2</v>
      </c>
      <c r="O14" s="9">
        <v>0</v>
      </c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54">
        <f>G14-SUMIF($H$3:$AA$3,H$3,Sprint!$H14:$AA14)</f>
        <v>-4</v>
      </c>
      <c r="AC14" s="9">
        <f t="shared" ca="1" si="5"/>
        <v>-4</v>
      </c>
      <c r="AD14" s="9">
        <f>IF(SUMIF($H$3:H$3,H$3,Sprint!$H14:H14)&gt;0,I14,0)</f>
        <v>0</v>
      </c>
      <c r="AE14" s="10">
        <f>IF(SUMIF($H$3:H$3,H$3,Sprint!$H14:H14)=0,$G14,0)</f>
        <v>2</v>
      </c>
      <c r="AF14" s="9">
        <f>IF(SUMIF($H$3:J$3,J$3,Sprint!$H14:J14)&gt;0,K14,0)</f>
        <v>2</v>
      </c>
      <c r="AG14" s="10">
        <f>IF(SUMIF($H$3:J$3,J$3,Sprint!$H14:J14)=0,$G14,0)</f>
        <v>0</v>
      </c>
      <c r="AH14" s="9">
        <f>IF(SUMIF($H$3:L$3,L$3,Sprint!$H14:L14)&gt;0,M14,0)</f>
        <v>0</v>
      </c>
      <c r="AI14" s="10">
        <f>IF(SUMIF($H$3:L$3,L$3,Sprint!$H14:L14)=0,$G14,0)</f>
        <v>0</v>
      </c>
      <c r="AJ14" s="9">
        <f>IF(SUMIF($H$3:N$3,N$3,Sprint!$H14:N14)&gt;0,O14,0)</f>
        <v>0</v>
      </c>
      <c r="AK14" s="10">
        <f>IF(SUMIF($H$3:N$3,N$3,Sprint!$H14:N14)=0,$G14,0)</f>
        <v>0</v>
      </c>
      <c r="AL14" s="9">
        <f>IF(SUMIF($H$3:P$3,P$3,Sprint!$H14:P14)&gt;0,Q14,0)</f>
        <v>0</v>
      </c>
      <c r="AM14" s="10">
        <f>IF(SUMIF($H$3:P$3,P$3,Sprint!$H14:P14)=0,$G14,0)</f>
        <v>0</v>
      </c>
      <c r="AN14" s="9">
        <f>IF(SUMIF($H$3:R$3,R$3,Sprint!$H14:R14)&gt;0,S14,0)</f>
        <v>0</v>
      </c>
      <c r="AO14" s="10">
        <f>IF(SUMIF($H$3:R$3,R$3,Sprint!$H14:R14)=0,$G14,0)</f>
        <v>0</v>
      </c>
      <c r="AP14" s="9">
        <f>IF(SUMIF($H$3:T$3,T$3,Sprint!$H14:T14)&gt;0,U14,0)</f>
        <v>0</v>
      </c>
      <c r="AQ14" s="10">
        <f>IF(SUMIF($H$3:T$3,T$3,Sprint!$H14:T14)=0,$G14,0)</f>
        <v>0</v>
      </c>
      <c r="AR14" s="9">
        <f>IF(SUMIF($H$3:V$3,V$3,Sprint!$H14:V14)&gt;0,W14,0)</f>
        <v>0</v>
      </c>
      <c r="AS14" s="10">
        <f>IF(SUMIF($H$3:V$3,V$3,Sprint!$H14:V14)=0,$G14,0)</f>
        <v>0</v>
      </c>
      <c r="AT14" s="9">
        <f>IF(SUMIF($H$3:X$3,X$3,Sprint!$H14:X14)&gt;0,Y14,0)</f>
        <v>0</v>
      </c>
      <c r="AU14" s="10">
        <f>IF(SUMIF($H$3:X$3,X$3,Sprint!$H14:X14)=0,$G14,0)</f>
        <v>0</v>
      </c>
      <c r="AV14" s="9">
        <f>IF(SUMIF($H$3:Z$3,Z$3,Sprint!$H14:Z14)&gt;0,AA14,0)</f>
        <v>0</v>
      </c>
      <c r="AW14" s="10">
        <f>IF(SUMIF($H$3:Z$3,Z$3,Sprint!$H14:Z14)=0,$G14,0)</f>
        <v>0</v>
      </c>
      <c r="AX14" s="9">
        <f t="shared" ca="1" si="3"/>
        <v>0</v>
      </c>
    </row>
    <row r="15" spans="1:53" hidden="1" x14ac:dyDescent="0.3">
      <c r="A15" s="13">
        <v>9</v>
      </c>
      <c r="B15" s="9">
        <f t="shared" ca="1" si="0"/>
        <v>3</v>
      </c>
      <c r="C15" s="9" t="s">
        <v>107</v>
      </c>
      <c r="D15" s="9">
        <v>17</v>
      </c>
      <c r="E15" s="9" t="str">
        <f t="shared" ca="1" si="1"/>
        <v>Task 9</v>
      </c>
      <c r="F15" s="9" t="s">
        <v>136</v>
      </c>
      <c r="G15" s="9">
        <v>20</v>
      </c>
      <c r="H15" s="9"/>
      <c r="I15" s="10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54">
        <f>G15-SUMIF($H$3:$AA$3,H$3,Sprint!$H15:$AA15)</f>
        <v>20</v>
      </c>
      <c r="AC15" s="9" t="str">
        <f t="shared" ca="1" si="5"/>
        <v/>
      </c>
      <c r="AD15" s="9">
        <f>IF(SUMIF($H$3:H$3,H$3,Sprint!$H15:H15)&gt;0,I15,0)</f>
        <v>0</v>
      </c>
      <c r="AE15" s="10">
        <f>IF(SUMIF($H$3:H$3,H$3,Sprint!$H15:H15)=0,$G15,0)</f>
        <v>20</v>
      </c>
      <c r="AF15" s="9">
        <f>IF(SUMIF($H$3:J$3,J$3,Sprint!$H15:J15)&gt;0,K15,0)</f>
        <v>0</v>
      </c>
      <c r="AG15" s="10">
        <f>IF(SUMIF($H$3:J$3,J$3,Sprint!$H15:J15)=0,$G15,0)</f>
        <v>20</v>
      </c>
      <c r="AH15" s="9">
        <f>IF(SUMIF($H$3:L$3,L$3,Sprint!$H15:L15)&gt;0,M15,0)</f>
        <v>0</v>
      </c>
      <c r="AI15" s="10">
        <f>IF(SUMIF($H$3:L$3,L$3,Sprint!$H15:L15)=0,$G15,0)</f>
        <v>20</v>
      </c>
      <c r="AJ15" s="9">
        <f>IF(SUMIF($H$3:N$3,N$3,Sprint!$H15:N15)&gt;0,O15,0)</f>
        <v>0</v>
      </c>
      <c r="AK15" s="10">
        <f>IF(SUMIF($H$3:N$3,N$3,Sprint!$H15:N15)=0,$G15,0)</f>
        <v>20</v>
      </c>
      <c r="AL15" s="9">
        <f>IF(SUMIF($H$3:P$3,P$3,Sprint!$H15:P15)&gt;0,Q15,0)</f>
        <v>0</v>
      </c>
      <c r="AM15" s="10">
        <f>IF(SUMIF($H$3:P$3,P$3,Sprint!$H15:P15)=0,$G15,0)</f>
        <v>20</v>
      </c>
      <c r="AN15" s="9">
        <f>IF(SUMIF($H$3:R$3,R$3,Sprint!$H15:R15)&gt;0,S15,0)</f>
        <v>0</v>
      </c>
      <c r="AO15" s="10">
        <f>IF(SUMIF($H$3:R$3,R$3,Sprint!$H15:R15)=0,$G15,0)</f>
        <v>20</v>
      </c>
      <c r="AP15" s="9">
        <f>IF(SUMIF($H$3:T$3,T$3,Sprint!$H15:T15)&gt;0,U15,0)</f>
        <v>0</v>
      </c>
      <c r="AQ15" s="10">
        <f>IF(SUMIF($H$3:T$3,T$3,Sprint!$H15:T15)=0,$G15,0)</f>
        <v>20</v>
      </c>
      <c r="AR15" s="9">
        <f>IF(SUMIF($H$3:V$3,V$3,Sprint!$H15:V15)&gt;0,W15,0)</f>
        <v>0</v>
      </c>
      <c r="AS15" s="10">
        <f>IF(SUMIF($H$3:V$3,V$3,Sprint!$H15:V15)=0,$G15,0)</f>
        <v>20</v>
      </c>
      <c r="AT15" s="9">
        <f>IF(SUMIF($H$3:X$3,X$3,Sprint!$H15:X15)&gt;0,Y15,0)</f>
        <v>0</v>
      </c>
      <c r="AU15" s="10">
        <f>IF(SUMIF($H$3:X$3,X$3,Sprint!$H15:X15)=0,$G15,0)</f>
        <v>20</v>
      </c>
      <c r="AV15" s="9">
        <f>IF(SUMIF($H$3:Z$3,Z$3,Sprint!$H15:Z15)&gt;0,AA15,0)</f>
        <v>0</v>
      </c>
      <c r="AW15" s="10">
        <f>IF(SUMIF($H$3:Z$3,Z$3,Sprint!$H15:Z15)=0,$G15,0)</f>
        <v>20</v>
      </c>
      <c r="AX15" s="9">
        <f t="shared" ca="1" si="3"/>
        <v>20</v>
      </c>
    </row>
    <row r="16" spans="1:53" hidden="1" x14ac:dyDescent="0.3">
      <c r="A16" s="13">
        <v>2</v>
      </c>
      <c r="B16" s="9">
        <f t="shared" ca="1" si="0"/>
        <v>2</v>
      </c>
      <c r="C16" s="9" t="s">
        <v>106</v>
      </c>
      <c r="D16" s="9">
        <v>11</v>
      </c>
      <c r="E16" s="9" t="str">
        <f t="shared" ca="1" si="1"/>
        <v>Task 6</v>
      </c>
      <c r="F16" s="9" t="s">
        <v>20</v>
      </c>
      <c r="G16" s="9">
        <v>6</v>
      </c>
      <c r="H16" s="9">
        <v>6</v>
      </c>
      <c r="I16" s="10">
        <v>0</v>
      </c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54">
        <f>G16-SUMIF($H$3:$AA$3,H$3,Sprint!$H16:$AA16)</f>
        <v>0</v>
      </c>
      <c r="AC16" s="9">
        <f t="shared" ca="1" si="5"/>
        <v>0</v>
      </c>
      <c r="AD16" s="9">
        <f>IF(SUMIF($H$3:H$3,H$3,Sprint!$H16:H16)&gt;0,I16,0)</f>
        <v>0</v>
      </c>
      <c r="AE16" s="10">
        <f>IF(SUMIF($H$3:H$3,H$3,Sprint!$H16:H16)=0,$G16,0)</f>
        <v>0</v>
      </c>
      <c r="AF16" s="9">
        <f>IF(SUMIF($H$3:J$3,J$3,Sprint!$H16:J16)&gt;0,K16,0)</f>
        <v>0</v>
      </c>
      <c r="AG16" s="10">
        <f>IF(SUMIF($H$3:J$3,J$3,Sprint!$H16:J16)=0,$G16,0)</f>
        <v>0</v>
      </c>
      <c r="AH16" s="9">
        <f>IF(SUMIF($H$3:L$3,L$3,Sprint!$H16:L16)&gt;0,M16,0)</f>
        <v>0</v>
      </c>
      <c r="AI16" s="10">
        <f>IF(SUMIF($H$3:L$3,L$3,Sprint!$H16:L16)=0,$G16,0)</f>
        <v>0</v>
      </c>
      <c r="AJ16" s="9">
        <f>IF(SUMIF($H$3:N$3,N$3,Sprint!$H16:N16)&gt;0,O16,0)</f>
        <v>0</v>
      </c>
      <c r="AK16" s="10">
        <f>IF(SUMIF($H$3:N$3,N$3,Sprint!$H16:N16)=0,$G16,0)</f>
        <v>0</v>
      </c>
      <c r="AL16" s="9">
        <f>IF(SUMIF($H$3:P$3,P$3,Sprint!$H16:P16)&gt;0,Q16,0)</f>
        <v>0</v>
      </c>
      <c r="AM16" s="10">
        <f>IF(SUMIF($H$3:P$3,P$3,Sprint!$H16:P16)=0,$G16,0)</f>
        <v>0</v>
      </c>
      <c r="AN16" s="9">
        <f>IF(SUMIF($H$3:R$3,R$3,Sprint!$H16:R16)&gt;0,S16,0)</f>
        <v>0</v>
      </c>
      <c r="AO16" s="10">
        <f>IF(SUMIF($H$3:R$3,R$3,Sprint!$H16:R16)=0,$G16,0)</f>
        <v>0</v>
      </c>
      <c r="AP16" s="9">
        <f>IF(SUMIF($H$3:T$3,T$3,Sprint!$H16:T16)&gt;0,U16,0)</f>
        <v>0</v>
      </c>
      <c r="AQ16" s="10">
        <f>IF(SUMIF($H$3:T$3,T$3,Sprint!$H16:T16)=0,$G16,0)</f>
        <v>0</v>
      </c>
      <c r="AR16" s="9">
        <f>IF(SUMIF($H$3:V$3,V$3,Sprint!$H16:V16)&gt;0,W16,0)</f>
        <v>0</v>
      </c>
      <c r="AS16" s="10">
        <f>IF(SUMIF($H$3:V$3,V$3,Sprint!$H16:V16)=0,$G16,0)</f>
        <v>0</v>
      </c>
      <c r="AT16" s="9">
        <f>IF(SUMIF($H$3:X$3,X$3,Sprint!$H16:X16)&gt;0,Y16,0)</f>
        <v>0</v>
      </c>
      <c r="AU16" s="10">
        <f>IF(SUMIF($H$3:X$3,X$3,Sprint!$H16:X16)=0,$G16,0)</f>
        <v>0</v>
      </c>
      <c r="AV16" s="9">
        <f>IF(SUMIF($H$3:Z$3,Z$3,Sprint!$H16:Z16)&gt;0,AA16,0)</f>
        <v>0</v>
      </c>
      <c r="AW16" s="10">
        <f>IF(SUMIF($H$3:Z$3,Z$3,Sprint!$H16:Z16)=0,$G16,0)</f>
        <v>0</v>
      </c>
      <c r="AX16" s="9">
        <f t="shared" ca="1" si="3"/>
        <v>0</v>
      </c>
    </row>
    <row r="17" spans="1:50" hidden="1" x14ac:dyDescent="0.3">
      <c r="A17" s="13">
        <v>2</v>
      </c>
      <c r="B17" s="9">
        <f t="shared" ca="1" si="0"/>
        <v>2</v>
      </c>
      <c r="C17" s="9" t="s">
        <v>106</v>
      </c>
      <c r="D17" s="9">
        <v>13</v>
      </c>
      <c r="E17" s="9" t="str">
        <f t="shared" ca="1" si="1"/>
        <v>Task 7</v>
      </c>
      <c r="F17" s="9" t="s">
        <v>19</v>
      </c>
      <c r="G17" s="9">
        <v>10</v>
      </c>
      <c r="H17" s="9"/>
      <c r="I17" s="10"/>
      <c r="J17" s="9"/>
      <c r="K17" s="9"/>
      <c r="L17" s="9"/>
      <c r="M17" s="9"/>
      <c r="N17" s="9"/>
      <c r="O17" s="9"/>
      <c r="P17" s="9"/>
      <c r="Q17" s="9"/>
      <c r="R17" s="9">
        <v>6</v>
      </c>
      <c r="S17" s="9">
        <v>4</v>
      </c>
      <c r="T17" s="9">
        <v>2</v>
      </c>
      <c r="U17" s="9">
        <v>2</v>
      </c>
      <c r="V17" s="9">
        <v>1</v>
      </c>
      <c r="W17" s="9">
        <v>0</v>
      </c>
      <c r="X17" s="9"/>
      <c r="Y17" s="9"/>
      <c r="Z17" s="9"/>
      <c r="AA17" s="9"/>
      <c r="AB17" s="54">
        <f>G17-SUMIF($H$3:$AA$3,H$3,Sprint!$H17:$AA17)</f>
        <v>1</v>
      </c>
      <c r="AC17" s="9">
        <f t="shared" ca="1" si="5"/>
        <v>1</v>
      </c>
      <c r="AD17" s="9">
        <f>IF(SUMIF($H$3:H$3,H$3,Sprint!$H17:H17)&gt;0,I17,0)</f>
        <v>0</v>
      </c>
      <c r="AE17" s="10">
        <f>IF(SUMIF($H$3:H$3,H$3,Sprint!$H17:H17)=0,$G17,0)</f>
        <v>10</v>
      </c>
      <c r="AF17" s="9">
        <f>IF(SUMIF($H$3:J$3,J$3,Sprint!$H17:J17)&gt;0,K17,0)</f>
        <v>0</v>
      </c>
      <c r="AG17" s="10">
        <f>IF(SUMIF($H$3:J$3,J$3,Sprint!$H17:J17)=0,$G17,0)</f>
        <v>10</v>
      </c>
      <c r="AH17" s="9">
        <f>IF(SUMIF($H$3:L$3,L$3,Sprint!$H17:L17)&gt;0,M17,0)</f>
        <v>0</v>
      </c>
      <c r="AI17" s="10">
        <f>IF(SUMIF($H$3:L$3,L$3,Sprint!$H17:L17)=0,$G17,0)</f>
        <v>10</v>
      </c>
      <c r="AJ17" s="9">
        <f>IF(SUMIF($H$3:N$3,N$3,Sprint!$H17:N17)&gt;0,O17,0)</f>
        <v>0</v>
      </c>
      <c r="AK17" s="10">
        <f>IF(SUMIF($H$3:N$3,N$3,Sprint!$H17:N17)=0,$G17,0)</f>
        <v>10</v>
      </c>
      <c r="AL17" s="9">
        <f>IF(SUMIF($H$3:P$3,P$3,Sprint!$H17:P17)&gt;0,Q17,0)</f>
        <v>0</v>
      </c>
      <c r="AM17" s="10">
        <f>IF(SUMIF($H$3:P$3,P$3,Sprint!$H17:P17)=0,$G17,0)</f>
        <v>10</v>
      </c>
      <c r="AN17" s="9">
        <f>IF(SUMIF($H$3:R$3,R$3,Sprint!$H17:R17)&gt;0,S17,0)</f>
        <v>4</v>
      </c>
      <c r="AO17" s="10">
        <f>IF(SUMIF($H$3:R$3,R$3,Sprint!$H17:R17)=0,$G17,0)</f>
        <v>0</v>
      </c>
      <c r="AP17" s="9">
        <f>IF(SUMIF($H$3:T$3,T$3,Sprint!$H17:T17)&gt;0,U17,0)</f>
        <v>2</v>
      </c>
      <c r="AQ17" s="10">
        <f>IF(SUMIF($H$3:T$3,T$3,Sprint!$H17:T17)=0,$G17,0)</f>
        <v>0</v>
      </c>
      <c r="AR17" s="9">
        <f>IF(SUMIF($H$3:V$3,V$3,Sprint!$H17:V17)&gt;0,W17,0)</f>
        <v>0</v>
      </c>
      <c r="AS17" s="10">
        <f>IF(SUMIF($H$3:V$3,V$3,Sprint!$H17:V17)=0,$G17,0)</f>
        <v>0</v>
      </c>
      <c r="AT17" s="9">
        <f>IF(SUMIF($H$3:X$3,X$3,Sprint!$H17:X17)&gt;0,Y17,0)</f>
        <v>0</v>
      </c>
      <c r="AU17" s="10">
        <f>IF(SUMIF($H$3:X$3,X$3,Sprint!$H17:X17)=0,$G17,0)</f>
        <v>0</v>
      </c>
      <c r="AV17" s="9">
        <f>IF(SUMIF($H$3:Z$3,Z$3,Sprint!$H17:Z17)&gt;0,AA17,0)</f>
        <v>0</v>
      </c>
      <c r="AW17" s="10">
        <f>IF(SUMIF($H$3:Z$3,Z$3,Sprint!$H17:Z17)=0,$G17,0)</f>
        <v>0</v>
      </c>
      <c r="AX17" s="9">
        <f t="shared" ca="1" si="3"/>
        <v>0</v>
      </c>
    </row>
    <row r="18" spans="1:50" x14ac:dyDescent="0.3">
      <c r="A18" s="13">
        <v>1</v>
      </c>
      <c r="B18" s="9">
        <f t="shared" ca="1" si="0"/>
        <v>2</v>
      </c>
      <c r="C18" s="10" t="s">
        <v>106</v>
      </c>
      <c r="D18" s="9">
        <v>9</v>
      </c>
      <c r="E18" s="9" t="str">
        <f t="shared" ca="1" si="1"/>
        <v>Task 5</v>
      </c>
      <c r="F18" s="9" t="s">
        <v>20</v>
      </c>
      <c r="G18" s="9">
        <v>12</v>
      </c>
      <c r="H18" s="9"/>
      <c r="I18" s="10"/>
      <c r="J18" s="9"/>
      <c r="K18" s="9"/>
      <c r="L18" s="9">
        <v>6</v>
      </c>
      <c r="M18" s="9">
        <v>4</v>
      </c>
      <c r="N18" s="9">
        <v>1</v>
      </c>
      <c r="O18" s="9">
        <v>3</v>
      </c>
      <c r="P18" s="9">
        <v>2</v>
      </c>
      <c r="Q18" s="9">
        <v>0</v>
      </c>
      <c r="R18" s="9"/>
      <c r="S18" s="9"/>
      <c r="T18" s="9"/>
      <c r="U18" s="9"/>
      <c r="V18" s="9"/>
      <c r="W18" s="9"/>
      <c r="X18" s="9"/>
      <c r="Y18" s="9"/>
      <c r="Z18" s="9"/>
      <c r="AA18" s="9"/>
      <c r="AB18" s="54">
        <f>G18-SUMIF($H$3:$AA$3,H$3,Sprint!$H18:$AA18)</f>
        <v>3</v>
      </c>
      <c r="AC18" s="9">
        <f t="shared" ca="1" si="5"/>
        <v>3</v>
      </c>
      <c r="AD18" s="9">
        <f>IF(SUMIF($H$3:H$3,H$3,Sprint!$H18:H18)&gt;0,I18,0)</f>
        <v>0</v>
      </c>
      <c r="AE18" s="10">
        <f>IF(SUMIF($H$3:H$3,H$3,Sprint!$H18:H18)=0,$G18,0)</f>
        <v>12</v>
      </c>
      <c r="AF18" s="9">
        <f>IF(SUMIF($H$3:J$3,J$3,Sprint!$H18:J18)&gt;0,K18,0)</f>
        <v>0</v>
      </c>
      <c r="AG18" s="10">
        <f>IF(SUMIF($H$3:J$3,J$3,Sprint!$H18:J18)=0,$G18,0)</f>
        <v>12</v>
      </c>
      <c r="AH18" s="9">
        <f>IF(SUMIF($H$3:L$3,L$3,Sprint!$H18:L18)&gt;0,M18,0)</f>
        <v>4</v>
      </c>
      <c r="AI18" s="10">
        <f>IF(SUMIF($H$3:L$3,L$3,Sprint!$H18:L18)=0,$G18,0)</f>
        <v>0</v>
      </c>
      <c r="AJ18" s="9">
        <f>IF(SUMIF($H$3:N$3,N$3,Sprint!$H18:N18)&gt;0,O18,0)</f>
        <v>3</v>
      </c>
      <c r="AK18" s="10">
        <f>IF(SUMIF($H$3:N$3,N$3,Sprint!$H18:N18)=0,$G18,0)</f>
        <v>0</v>
      </c>
      <c r="AL18" s="9">
        <f>IF(SUMIF($H$3:P$3,P$3,Sprint!$H18:P18)&gt;0,Q18,0)</f>
        <v>0</v>
      </c>
      <c r="AM18" s="10">
        <f>IF(SUMIF($H$3:P$3,P$3,Sprint!$H18:P18)=0,$G18,0)</f>
        <v>0</v>
      </c>
      <c r="AN18" s="9">
        <f>IF(SUMIF($H$3:R$3,R$3,Sprint!$H18:R18)&gt;0,S18,0)</f>
        <v>0</v>
      </c>
      <c r="AO18" s="10">
        <f>IF(SUMIF($H$3:R$3,R$3,Sprint!$H18:R18)=0,$G18,0)</f>
        <v>0</v>
      </c>
      <c r="AP18" s="9">
        <f>IF(SUMIF($H$3:T$3,T$3,Sprint!$H18:T18)&gt;0,U18,0)</f>
        <v>0</v>
      </c>
      <c r="AQ18" s="10">
        <f>IF(SUMIF($H$3:T$3,T$3,Sprint!$H18:T18)=0,$G18,0)</f>
        <v>0</v>
      </c>
      <c r="AR18" s="9">
        <f>IF(SUMIF($H$3:V$3,V$3,Sprint!$H18:V18)&gt;0,W18,0)</f>
        <v>0</v>
      </c>
      <c r="AS18" s="10">
        <f>IF(SUMIF($H$3:V$3,V$3,Sprint!$H18:V18)=0,$G18,0)</f>
        <v>0</v>
      </c>
      <c r="AT18" s="9">
        <f>IF(SUMIF($H$3:X$3,X$3,Sprint!$H18:X18)&gt;0,Y18,0)</f>
        <v>0</v>
      </c>
      <c r="AU18" s="10">
        <f>IF(SUMIF($H$3:X$3,X$3,Sprint!$H18:X18)=0,$G18,0)</f>
        <v>0</v>
      </c>
      <c r="AV18" s="9">
        <f>IF(SUMIF($H$3:Z$3,Z$3,Sprint!$H18:Z18)&gt;0,AA18,0)</f>
        <v>0</v>
      </c>
      <c r="AW18" s="10">
        <f>IF(SUMIF($H$3:Z$3,Z$3,Sprint!$H18:Z18)=0,$G18,0)</f>
        <v>0</v>
      </c>
      <c r="AX18" s="9">
        <f t="shared" ca="1" si="3"/>
        <v>0</v>
      </c>
    </row>
    <row r="19" spans="1:50" hidden="1" x14ac:dyDescent="0.3">
      <c r="A19" s="13">
        <v>2</v>
      </c>
      <c r="B19" s="9">
        <f t="shared" ca="1" si="0"/>
        <v>1</v>
      </c>
      <c r="C19" s="9" t="s">
        <v>105</v>
      </c>
      <c r="D19" s="9">
        <v>1</v>
      </c>
      <c r="E19" s="9" t="str">
        <f t="shared" ca="1" si="1"/>
        <v>Task 1</v>
      </c>
      <c r="F19" s="9" t="s">
        <v>19</v>
      </c>
      <c r="G19" s="9">
        <v>8</v>
      </c>
      <c r="H19" s="9"/>
      <c r="I19" s="10"/>
      <c r="J19" s="9"/>
      <c r="K19" s="9"/>
      <c r="L19" s="9">
        <v>6</v>
      </c>
      <c r="M19" s="9">
        <v>4</v>
      </c>
      <c r="N19" s="9">
        <v>1</v>
      </c>
      <c r="O19" s="9">
        <v>3</v>
      </c>
      <c r="P19" s="9">
        <v>2</v>
      </c>
      <c r="Q19" s="9">
        <v>0</v>
      </c>
      <c r="R19" s="9"/>
      <c r="S19" s="9"/>
      <c r="T19" s="9"/>
      <c r="U19" s="9"/>
      <c r="V19" s="9"/>
      <c r="W19" s="9"/>
      <c r="X19" s="9"/>
      <c r="Y19" s="9"/>
      <c r="Z19" s="9"/>
      <c r="AA19" s="9"/>
      <c r="AB19" s="54">
        <f>G19-SUMIF($H$3:$AA$3,H$3,Sprint!$H19:$AA19)</f>
        <v>-1</v>
      </c>
      <c r="AC19" s="9">
        <f t="shared" ca="1" si="5"/>
        <v>-1</v>
      </c>
      <c r="AD19" s="9">
        <f>IF(SUMIF($H$3:H$3,H$3,Sprint!$H19:H19)&gt;0,I19,0)</f>
        <v>0</v>
      </c>
      <c r="AE19" s="10">
        <f>IF(SUMIF($H$3:H$3,H$3,Sprint!$H19:H19)=0,$G19,0)</f>
        <v>8</v>
      </c>
      <c r="AF19" s="9">
        <f>IF(SUMIF($H$3:J$3,J$3,Sprint!$H19:J19)&gt;0,K19,0)</f>
        <v>0</v>
      </c>
      <c r="AG19" s="10">
        <f>IF(SUMIF($H$3:J$3,J$3,Sprint!$H19:J19)=0,$G19,0)</f>
        <v>8</v>
      </c>
      <c r="AH19" s="9">
        <f>IF(SUMIF($H$3:L$3,L$3,Sprint!$H19:L19)&gt;0,M19,0)</f>
        <v>4</v>
      </c>
      <c r="AI19" s="10">
        <f>IF(SUMIF($H$3:L$3,L$3,Sprint!$H19:L19)=0,$G19,0)</f>
        <v>0</v>
      </c>
      <c r="AJ19" s="9">
        <f>IF(SUMIF($H$3:N$3,N$3,Sprint!$H19:N19)&gt;0,O19,0)</f>
        <v>3</v>
      </c>
      <c r="AK19" s="10">
        <f>IF(SUMIF($H$3:N$3,N$3,Sprint!$H19:N19)=0,$G19,0)</f>
        <v>0</v>
      </c>
      <c r="AL19" s="9">
        <f>IF(SUMIF($H$3:P$3,P$3,Sprint!$H19:P19)&gt;0,Q19,0)</f>
        <v>0</v>
      </c>
      <c r="AM19" s="10">
        <f>IF(SUMIF($H$3:P$3,P$3,Sprint!$H19:P19)=0,$G19,0)</f>
        <v>0</v>
      </c>
      <c r="AN19" s="9">
        <f>IF(SUMIF($H$3:R$3,R$3,Sprint!$H19:R19)&gt;0,S19,0)</f>
        <v>0</v>
      </c>
      <c r="AO19" s="10">
        <f>IF(SUMIF($H$3:R$3,R$3,Sprint!$H19:R19)=0,$G19,0)</f>
        <v>0</v>
      </c>
      <c r="AP19" s="9">
        <f>IF(SUMIF($H$3:T$3,T$3,Sprint!$H19:T19)&gt;0,U19,0)</f>
        <v>0</v>
      </c>
      <c r="AQ19" s="10">
        <f>IF(SUMIF($H$3:T$3,T$3,Sprint!$H19:T19)=0,$G19,0)</f>
        <v>0</v>
      </c>
      <c r="AR19" s="9">
        <f>IF(SUMIF($H$3:V$3,V$3,Sprint!$H19:V19)&gt;0,W19,0)</f>
        <v>0</v>
      </c>
      <c r="AS19" s="10">
        <f>IF(SUMIF($H$3:V$3,V$3,Sprint!$H19:V19)=0,$G19,0)</f>
        <v>0</v>
      </c>
      <c r="AT19" s="9">
        <f>IF(SUMIF($H$3:X$3,X$3,Sprint!$H19:X19)&gt;0,Y19,0)</f>
        <v>0</v>
      </c>
      <c r="AU19" s="10">
        <f>IF(SUMIF($H$3:X$3,X$3,Sprint!$H19:X19)=0,$G19,0)</f>
        <v>0</v>
      </c>
      <c r="AV19" s="9">
        <f>IF(SUMIF($H$3:Z$3,Z$3,Sprint!$H19:Z19)&gt;0,AA19,0)</f>
        <v>0</v>
      </c>
      <c r="AW19" s="10">
        <f>IF(SUMIF($H$3:Z$3,Z$3,Sprint!$H19:Z19)=0,$G19,0)</f>
        <v>0</v>
      </c>
      <c r="AX19" s="9">
        <f t="shared" ca="1" si="3"/>
        <v>0</v>
      </c>
    </row>
    <row r="20" spans="1:50" hidden="1" x14ac:dyDescent="0.3">
      <c r="A20" s="13">
        <v>2</v>
      </c>
      <c r="B20" s="9">
        <f t="shared" ca="1" si="0"/>
        <v>5</v>
      </c>
      <c r="C20" s="9" t="s">
        <v>109</v>
      </c>
      <c r="D20" s="9">
        <v>12</v>
      </c>
      <c r="E20" s="9" t="str">
        <f t="shared" ca="1" si="1"/>
        <v>Task 13</v>
      </c>
      <c r="F20" s="9" t="s">
        <v>19</v>
      </c>
      <c r="G20" s="9">
        <v>12</v>
      </c>
      <c r="H20" s="9"/>
      <c r="I20" s="10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>
        <v>6</v>
      </c>
      <c r="AA20" s="9"/>
      <c r="AB20" s="54">
        <f>G20-SUMIF($H$3:$AA$3,H$3,Sprint!$H20:$AA20)</f>
        <v>6</v>
      </c>
      <c r="AC20" s="9">
        <f t="shared" ca="1" si="5"/>
        <v>6</v>
      </c>
      <c r="AD20" s="9">
        <f>IF(SUMIF($H$3:H$3,H$3,Sprint!$H20:H20)&gt;0,I20,0)</f>
        <v>0</v>
      </c>
      <c r="AE20" s="10">
        <f>IF(SUMIF($H$3:H$3,H$3,Sprint!$H20:H20)=0,$G20,0)</f>
        <v>12</v>
      </c>
      <c r="AF20" s="9">
        <f>IF(SUMIF($H$3:J$3,J$3,Sprint!$H20:J20)&gt;0,K20,0)</f>
        <v>0</v>
      </c>
      <c r="AG20" s="10">
        <f>IF(SUMIF($H$3:J$3,J$3,Sprint!$H20:J20)=0,$G20,0)</f>
        <v>12</v>
      </c>
      <c r="AH20" s="9">
        <f>IF(SUMIF($H$3:L$3,L$3,Sprint!$H20:L20)&gt;0,M20,0)</f>
        <v>0</v>
      </c>
      <c r="AI20" s="10">
        <f>IF(SUMIF($H$3:L$3,L$3,Sprint!$H20:L20)=0,$G20,0)</f>
        <v>12</v>
      </c>
      <c r="AJ20" s="9">
        <f>IF(SUMIF($H$3:N$3,N$3,Sprint!$H20:N20)&gt;0,O20,0)</f>
        <v>0</v>
      </c>
      <c r="AK20" s="10">
        <f>IF(SUMIF($H$3:N$3,N$3,Sprint!$H20:N20)=0,$G20,0)</f>
        <v>12</v>
      </c>
      <c r="AL20" s="9">
        <f>IF(SUMIF($H$3:P$3,P$3,Sprint!$H20:P20)&gt;0,Q20,0)</f>
        <v>0</v>
      </c>
      <c r="AM20" s="10">
        <f>IF(SUMIF($H$3:P$3,P$3,Sprint!$H20:P20)=0,$G20,0)</f>
        <v>12</v>
      </c>
      <c r="AN20" s="9">
        <f>IF(SUMIF($H$3:R$3,R$3,Sprint!$H20:R20)&gt;0,S20,0)</f>
        <v>0</v>
      </c>
      <c r="AO20" s="10">
        <f>IF(SUMIF($H$3:R$3,R$3,Sprint!$H20:R20)=0,$G20,0)</f>
        <v>12</v>
      </c>
      <c r="AP20" s="9">
        <f>IF(SUMIF($H$3:T$3,T$3,Sprint!$H20:T20)&gt;0,U20,0)</f>
        <v>0</v>
      </c>
      <c r="AQ20" s="10">
        <f>IF(SUMIF($H$3:T$3,T$3,Sprint!$H20:T20)=0,$G20,0)</f>
        <v>12</v>
      </c>
      <c r="AR20" s="9">
        <f>IF(SUMIF($H$3:V$3,V$3,Sprint!$H20:V20)&gt;0,W20,0)</f>
        <v>0</v>
      </c>
      <c r="AS20" s="10">
        <f>IF(SUMIF($H$3:V$3,V$3,Sprint!$H20:V20)=0,$G20,0)</f>
        <v>12</v>
      </c>
      <c r="AT20" s="9">
        <f>IF(SUMIF($H$3:X$3,X$3,Sprint!$H20:X20)&gt;0,Y20,0)</f>
        <v>0</v>
      </c>
      <c r="AU20" s="10">
        <f>IF(SUMIF($H$3:X$3,X$3,Sprint!$H20:X20)=0,$G20,0)</f>
        <v>12</v>
      </c>
      <c r="AV20" s="9">
        <f>IF(SUMIF($H$3:Z$3,Z$3,Sprint!$H20:Z20)&gt;0,AA20,0)</f>
        <v>0</v>
      </c>
      <c r="AW20" s="10">
        <f>IF(SUMIF($H$3:Z$3,Z$3,Sprint!$H20:Z20)=0,$G20,0)</f>
        <v>0</v>
      </c>
      <c r="AX20" s="9">
        <f t="shared" ca="1" si="3"/>
        <v>6</v>
      </c>
    </row>
    <row r="21" spans="1:50" hidden="1" x14ac:dyDescent="0.3">
      <c r="A21" s="13">
        <v>2</v>
      </c>
      <c r="B21" s="9">
        <f t="shared" ca="1" si="0"/>
        <v>4</v>
      </c>
      <c r="C21" s="9" t="s">
        <v>108</v>
      </c>
      <c r="D21" s="9">
        <v>4</v>
      </c>
      <c r="E21" s="9" t="str">
        <f t="shared" ca="1" si="1"/>
        <v>Task 11</v>
      </c>
      <c r="F21" s="9" t="s">
        <v>136</v>
      </c>
      <c r="G21" s="9">
        <v>6</v>
      </c>
      <c r="H21" s="9"/>
      <c r="I21" s="10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54">
        <f>G21-SUMIF($H$3:$AA$3,H$3,Sprint!$H21:$AA21)</f>
        <v>6</v>
      </c>
      <c r="AC21" s="9" t="str">
        <f t="shared" ca="1" si="5"/>
        <v/>
      </c>
      <c r="AD21" s="9">
        <f>IF(SUMIF($H$3:H$3,H$3,Sprint!$H21:H21)&gt;0,I21,0)</f>
        <v>0</v>
      </c>
      <c r="AE21" s="10">
        <f>IF(SUMIF($H$3:H$3,H$3,Sprint!$H21:H21)=0,$G21,0)</f>
        <v>6</v>
      </c>
      <c r="AF21" s="9">
        <f>IF(SUMIF($H$3:J$3,J$3,Sprint!$H21:J21)&gt;0,K21,0)</f>
        <v>0</v>
      </c>
      <c r="AG21" s="10">
        <f>IF(SUMIF($H$3:J$3,J$3,Sprint!$H21:J21)=0,$G21,0)</f>
        <v>6</v>
      </c>
      <c r="AH21" s="9">
        <f>IF(SUMIF($H$3:L$3,L$3,Sprint!$H21:L21)&gt;0,M21,0)</f>
        <v>0</v>
      </c>
      <c r="AI21" s="10">
        <f>IF(SUMIF($H$3:L$3,L$3,Sprint!$H21:L21)=0,$G21,0)</f>
        <v>6</v>
      </c>
      <c r="AJ21" s="9">
        <f>IF(SUMIF($H$3:N$3,N$3,Sprint!$H21:N21)&gt;0,O21,0)</f>
        <v>0</v>
      </c>
      <c r="AK21" s="10">
        <f>IF(SUMIF($H$3:N$3,N$3,Sprint!$H21:N21)=0,$G21,0)</f>
        <v>6</v>
      </c>
      <c r="AL21" s="9">
        <f>IF(SUMIF($H$3:P$3,P$3,Sprint!$H21:P21)&gt;0,Q21,0)</f>
        <v>0</v>
      </c>
      <c r="AM21" s="10">
        <f>IF(SUMIF($H$3:P$3,P$3,Sprint!$H21:P21)=0,$G21,0)</f>
        <v>6</v>
      </c>
      <c r="AN21" s="9">
        <f>IF(SUMIF($H$3:R$3,R$3,Sprint!$H21:R21)&gt;0,S21,0)</f>
        <v>0</v>
      </c>
      <c r="AO21" s="10">
        <f>IF(SUMIF($H$3:R$3,R$3,Sprint!$H21:R21)=0,$G21,0)</f>
        <v>6</v>
      </c>
      <c r="AP21" s="9">
        <f>IF(SUMIF($H$3:T$3,T$3,Sprint!$H21:T21)&gt;0,U21,0)</f>
        <v>0</v>
      </c>
      <c r="AQ21" s="10">
        <f>IF(SUMIF($H$3:T$3,T$3,Sprint!$H21:T21)=0,$G21,0)</f>
        <v>6</v>
      </c>
      <c r="AR21" s="9">
        <f>IF(SUMIF($H$3:V$3,V$3,Sprint!$H21:V21)&gt;0,W21,0)</f>
        <v>0</v>
      </c>
      <c r="AS21" s="10">
        <f>IF(SUMIF($H$3:V$3,V$3,Sprint!$H21:V21)=0,$G21,0)</f>
        <v>6</v>
      </c>
      <c r="AT21" s="9">
        <f>IF(SUMIF($H$3:X$3,X$3,Sprint!$H21:X21)&gt;0,Y21,0)</f>
        <v>0</v>
      </c>
      <c r="AU21" s="10">
        <f>IF(SUMIF($H$3:X$3,X$3,Sprint!$H21:X21)=0,$G21,0)</f>
        <v>6</v>
      </c>
      <c r="AV21" s="9">
        <f>IF(SUMIF($H$3:Z$3,Z$3,Sprint!$H21:Z21)&gt;0,AA21,0)</f>
        <v>0</v>
      </c>
      <c r="AW21" s="10">
        <f>IF(SUMIF($H$3:Z$3,Z$3,Sprint!$H21:Z21)=0,$G21,0)</f>
        <v>6</v>
      </c>
      <c r="AX21" s="9">
        <f t="shared" ca="1" si="3"/>
        <v>6</v>
      </c>
    </row>
    <row r="22" spans="1:50" hidden="1" x14ac:dyDescent="0.3">
      <c r="A22" s="13">
        <v>3</v>
      </c>
      <c r="B22" s="9">
        <f t="shared" ca="1" si="0"/>
        <v>5</v>
      </c>
      <c r="C22" s="9" t="s">
        <v>109</v>
      </c>
      <c r="D22" s="9">
        <v>12</v>
      </c>
      <c r="E22" s="9" t="str">
        <f t="shared" ca="1" si="1"/>
        <v>Task 13</v>
      </c>
      <c r="F22" s="9" t="s">
        <v>19</v>
      </c>
      <c r="G22" s="9">
        <v>4</v>
      </c>
      <c r="H22" s="9"/>
      <c r="I22" s="10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54">
        <f>G22-SUMIF($H$3:$AA$3,H$3,Sprint!$H22:$AA22)</f>
        <v>4</v>
      </c>
      <c r="AC22" s="9" t="str">
        <f t="shared" ca="1" si="5"/>
        <v/>
      </c>
      <c r="AD22" s="9">
        <f>IF(SUMIF($H$3:H$3,H$3,Sprint!$H22:H22)&gt;0,I22,0)</f>
        <v>0</v>
      </c>
      <c r="AE22" s="10">
        <f>IF(SUMIF($H$3:H$3,H$3,Sprint!$H22:H22)=0,$G22,0)</f>
        <v>4</v>
      </c>
      <c r="AF22" s="9">
        <f>IF(SUMIF($H$3:J$3,J$3,Sprint!$H22:J22)&gt;0,K22,0)</f>
        <v>0</v>
      </c>
      <c r="AG22" s="10">
        <f>IF(SUMIF($H$3:J$3,J$3,Sprint!$H22:J22)=0,$G22,0)</f>
        <v>4</v>
      </c>
      <c r="AH22" s="9">
        <f>IF(SUMIF($H$3:L$3,L$3,Sprint!$H22:L22)&gt;0,M22,0)</f>
        <v>0</v>
      </c>
      <c r="AI22" s="10">
        <f>IF(SUMIF($H$3:L$3,L$3,Sprint!$H22:L22)=0,$G22,0)</f>
        <v>4</v>
      </c>
      <c r="AJ22" s="9">
        <f>IF(SUMIF($H$3:N$3,N$3,Sprint!$H22:N22)&gt;0,O22,0)</f>
        <v>0</v>
      </c>
      <c r="AK22" s="10">
        <f>IF(SUMIF($H$3:N$3,N$3,Sprint!$H22:N22)=0,$G22,0)</f>
        <v>4</v>
      </c>
      <c r="AL22" s="9">
        <f>IF(SUMIF($H$3:P$3,P$3,Sprint!$H22:P22)&gt;0,Q22,0)</f>
        <v>0</v>
      </c>
      <c r="AM22" s="10">
        <f>IF(SUMIF($H$3:P$3,P$3,Sprint!$H22:P22)=0,$G22,0)</f>
        <v>4</v>
      </c>
      <c r="AN22" s="9">
        <f>IF(SUMIF($H$3:R$3,R$3,Sprint!$H22:R22)&gt;0,S22,0)</f>
        <v>0</v>
      </c>
      <c r="AO22" s="10">
        <f>IF(SUMIF($H$3:R$3,R$3,Sprint!$H22:R22)=0,$G22,0)</f>
        <v>4</v>
      </c>
      <c r="AP22" s="9">
        <f>IF(SUMIF($H$3:T$3,T$3,Sprint!$H22:T22)&gt;0,U22,0)</f>
        <v>0</v>
      </c>
      <c r="AQ22" s="10">
        <f>IF(SUMIF($H$3:T$3,T$3,Sprint!$H22:T22)=0,$G22,0)</f>
        <v>4</v>
      </c>
      <c r="AR22" s="9">
        <f>IF(SUMIF($H$3:V$3,V$3,Sprint!$H22:V22)&gt;0,W22,0)</f>
        <v>0</v>
      </c>
      <c r="AS22" s="10">
        <f>IF(SUMIF($H$3:V$3,V$3,Sprint!$H22:V22)=0,$G22,0)</f>
        <v>4</v>
      </c>
      <c r="AT22" s="9">
        <f>IF(SUMIF($H$3:X$3,X$3,Sprint!$H22:X22)&gt;0,Y22,0)</f>
        <v>0</v>
      </c>
      <c r="AU22" s="10">
        <f>IF(SUMIF($H$3:X$3,X$3,Sprint!$H22:X22)=0,$G22,0)</f>
        <v>4</v>
      </c>
      <c r="AV22" s="9">
        <f>IF(SUMIF($H$3:Z$3,Z$3,Sprint!$H22:Z22)&gt;0,AA22,0)</f>
        <v>0</v>
      </c>
      <c r="AW22" s="10">
        <f>IF(SUMIF($H$3:Z$3,Z$3,Sprint!$H22:Z22)=0,$G22,0)</f>
        <v>4</v>
      </c>
      <c r="AX22" s="9">
        <f t="shared" ca="1" si="3"/>
        <v>4</v>
      </c>
    </row>
    <row r="23" spans="1:50" hidden="1" x14ac:dyDescent="0.3">
      <c r="A23" s="13">
        <v>3</v>
      </c>
      <c r="B23" s="9">
        <f t="shared" ca="1" si="0"/>
        <v>6</v>
      </c>
      <c r="C23" s="9" t="s">
        <v>110</v>
      </c>
      <c r="D23" s="9">
        <v>20</v>
      </c>
      <c r="E23" s="9" t="str">
        <f t="shared" ca="1" si="1"/>
        <v>task 15</v>
      </c>
      <c r="F23" s="9" t="s">
        <v>19</v>
      </c>
      <c r="G23" s="9">
        <v>2</v>
      </c>
      <c r="H23" s="9"/>
      <c r="I23" s="10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54">
        <f>G23-SUMIF($H$3:$AA$3,H$3,Sprint!$H23:$AA23)</f>
        <v>2</v>
      </c>
      <c r="AC23" s="9" t="str">
        <f t="shared" ca="1" si="5"/>
        <v/>
      </c>
      <c r="AD23" s="9">
        <f>IF(SUMIF($H$3:H$3,H$3,Sprint!$H23:H23)&gt;0,I23,0)</f>
        <v>0</v>
      </c>
      <c r="AE23" s="10">
        <f>IF(SUMIF($H$3:H$3,H$3,Sprint!$H23:H23)=0,$G23,0)</f>
        <v>2</v>
      </c>
      <c r="AF23" s="9">
        <f>IF(SUMIF($H$3:J$3,J$3,Sprint!$H23:J23)&gt;0,K23,0)</f>
        <v>0</v>
      </c>
      <c r="AG23" s="10">
        <f>IF(SUMIF($H$3:J$3,J$3,Sprint!$H23:J23)=0,$G23,0)</f>
        <v>2</v>
      </c>
      <c r="AH23" s="9">
        <f>IF(SUMIF($H$3:L$3,L$3,Sprint!$H23:L23)&gt;0,M23,0)</f>
        <v>0</v>
      </c>
      <c r="AI23" s="10">
        <f>IF(SUMIF($H$3:L$3,L$3,Sprint!$H23:L23)=0,$G23,0)</f>
        <v>2</v>
      </c>
      <c r="AJ23" s="9">
        <f>IF(SUMIF($H$3:N$3,N$3,Sprint!$H23:N23)&gt;0,O23,0)</f>
        <v>0</v>
      </c>
      <c r="AK23" s="10">
        <f>IF(SUMIF($H$3:N$3,N$3,Sprint!$H23:N23)=0,$G23,0)</f>
        <v>2</v>
      </c>
      <c r="AL23" s="9">
        <f>IF(SUMIF($H$3:P$3,P$3,Sprint!$H23:P23)&gt;0,Q23,0)</f>
        <v>0</v>
      </c>
      <c r="AM23" s="10">
        <f>IF(SUMIF($H$3:P$3,P$3,Sprint!$H23:P23)=0,$G23,0)</f>
        <v>2</v>
      </c>
      <c r="AN23" s="9">
        <f>IF(SUMIF($H$3:R$3,R$3,Sprint!$H23:R23)&gt;0,S23,0)</f>
        <v>0</v>
      </c>
      <c r="AO23" s="10">
        <f>IF(SUMIF($H$3:R$3,R$3,Sprint!$H23:R23)=0,$G23,0)</f>
        <v>2</v>
      </c>
      <c r="AP23" s="9">
        <f>IF(SUMIF($H$3:T$3,T$3,Sprint!$H23:T23)&gt;0,U23,0)</f>
        <v>0</v>
      </c>
      <c r="AQ23" s="10">
        <f>IF(SUMIF($H$3:T$3,T$3,Sprint!$H23:T23)=0,$G23,0)</f>
        <v>2</v>
      </c>
      <c r="AR23" s="9">
        <f>IF(SUMIF($H$3:V$3,V$3,Sprint!$H23:V23)&gt;0,W23,0)</f>
        <v>0</v>
      </c>
      <c r="AS23" s="10">
        <f>IF(SUMIF($H$3:V$3,V$3,Sprint!$H23:V23)=0,$G23,0)</f>
        <v>2</v>
      </c>
      <c r="AT23" s="9">
        <f>IF(SUMIF($H$3:X$3,X$3,Sprint!$H23:X23)&gt;0,Y23,0)</f>
        <v>0</v>
      </c>
      <c r="AU23" s="10">
        <f>IF(SUMIF($H$3:X$3,X$3,Sprint!$H23:X23)=0,$G23,0)</f>
        <v>2</v>
      </c>
      <c r="AV23" s="9">
        <f>IF(SUMIF($H$3:Z$3,Z$3,Sprint!$H23:Z23)&gt;0,AA23,0)</f>
        <v>0</v>
      </c>
      <c r="AW23" s="10">
        <f>IF(SUMIF($H$3:Z$3,Z$3,Sprint!$H23:Z23)=0,$G23,0)</f>
        <v>2</v>
      </c>
      <c r="AX23" s="9">
        <f t="shared" ca="1" si="3"/>
        <v>2</v>
      </c>
    </row>
    <row r="24" spans="1:50" hidden="1" x14ac:dyDescent="0.3">
      <c r="A24" s="13">
        <v>3</v>
      </c>
      <c r="B24" s="9">
        <f t="shared" ca="1" si="0"/>
        <v>1</v>
      </c>
      <c r="C24" s="9" t="s">
        <v>105</v>
      </c>
      <c r="D24" s="9">
        <v>1</v>
      </c>
      <c r="E24" s="9" t="str">
        <f t="shared" ca="1" si="1"/>
        <v>Task 1</v>
      </c>
      <c r="F24" s="9" t="s">
        <v>136</v>
      </c>
      <c r="G24" s="9">
        <v>4</v>
      </c>
      <c r="H24" s="9"/>
      <c r="I24" s="10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>
        <v>4</v>
      </c>
      <c r="Y24" s="9">
        <v>2</v>
      </c>
      <c r="Z24" s="9">
        <v>2</v>
      </c>
      <c r="AA24" s="9">
        <v>0</v>
      </c>
      <c r="AB24" s="54">
        <f>G24-SUMIF($H$3:$AA$3,H$3,Sprint!$H24:$AA24)</f>
        <v>-2</v>
      </c>
      <c r="AC24" s="9">
        <f t="shared" ca="1" si="5"/>
        <v>-2</v>
      </c>
      <c r="AD24" s="9">
        <f>IF(SUMIF($H$3:H$3,H$3,Sprint!$H24:H24)&gt;0,I24,0)</f>
        <v>0</v>
      </c>
      <c r="AE24" s="10">
        <f>IF(SUMIF($H$3:H$3,H$3,Sprint!$H24:H24)=0,$G24,0)</f>
        <v>4</v>
      </c>
      <c r="AF24" s="9">
        <f>IF(SUMIF($H$3:J$3,J$3,Sprint!$H24:J24)&gt;0,K24,0)</f>
        <v>0</v>
      </c>
      <c r="AG24" s="10">
        <f>IF(SUMIF($H$3:J$3,J$3,Sprint!$H24:J24)=0,$G24,0)</f>
        <v>4</v>
      </c>
      <c r="AH24" s="9">
        <f>IF(SUMIF($H$3:L$3,L$3,Sprint!$H24:L24)&gt;0,M24,0)</f>
        <v>0</v>
      </c>
      <c r="AI24" s="10">
        <f>IF(SUMIF($H$3:L$3,L$3,Sprint!$H24:L24)=0,$G24,0)</f>
        <v>4</v>
      </c>
      <c r="AJ24" s="9">
        <f>IF(SUMIF($H$3:N$3,N$3,Sprint!$H24:N24)&gt;0,O24,0)</f>
        <v>0</v>
      </c>
      <c r="AK24" s="10">
        <f>IF(SUMIF($H$3:N$3,N$3,Sprint!$H24:N24)=0,$G24,0)</f>
        <v>4</v>
      </c>
      <c r="AL24" s="9">
        <f>IF(SUMIF($H$3:P$3,P$3,Sprint!$H24:P24)&gt;0,Q24,0)</f>
        <v>0</v>
      </c>
      <c r="AM24" s="10">
        <f>IF(SUMIF($H$3:P$3,P$3,Sprint!$H24:P24)=0,$G24,0)</f>
        <v>4</v>
      </c>
      <c r="AN24" s="9">
        <f>IF(SUMIF($H$3:R$3,R$3,Sprint!$H24:R24)&gt;0,S24,0)</f>
        <v>0</v>
      </c>
      <c r="AO24" s="10">
        <f>IF(SUMIF($H$3:R$3,R$3,Sprint!$H24:R24)=0,$G24,0)</f>
        <v>4</v>
      </c>
      <c r="AP24" s="9">
        <f>IF(SUMIF($H$3:T$3,T$3,Sprint!$H24:T24)&gt;0,U24,0)</f>
        <v>0</v>
      </c>
      <c r="AQ24" s="10">
        <f>IF(SUMIF($H$3:T$3,T$3,Sprint!$H24:T24)=0,$G24,0)</f>
        <v>4</v>
      </c>
      <c r="AR24" s="9">
        <f>IF(SUMIF($H$3:V$3,V$3,Sprint!$H24:V24)&gt;0,W24,0)</f>
        <v>0</v>
      </c>
      <c r="AS24" s="10">
        <f>IF(SUMIF($H$3:V$3,V$3,Sprint!$H24:V24)=0,$G24,0)</f>
        <v>4</v>
      </c>
      <c r="AT24" s="9">
        <f>IF(SUMIF($H$3:X$3,X$3,Sprint!$H24:X24)&gt;0,Y24,0)</f>
        <v>2</v>
      </c>
      <c r="AU24" s="10">
        <f>IF(SUMIF($H$3:X$3,X$3,Sprint!$H24:X24)=0,$G24,0)</f>
        <v>0</v>
      </c>
      <c r="AV24" s="9">
        <f>IF(SUMIF($H$3:Z$3,Z$3,Sprint!$H24:Z24)&gt;0,AA24,0)</f>
        <v>0</v>
      </c>
      <c r="AW24" s="10">
        <f>IF(SUMIF($H$3:Z$3,Z$3,Sprint!$H24:Z24)=0,$G24,0)</f>
        <v>0</v>
      </c>
      <c r="AX24" s="9">
        <f t="shared" ca="1" si="3"/>
        <v>0</v>
      </c>
    </row>
    <row r="25" spans="1:50" hidden="1" x14ac:dyDescent="0.3">
      <c r="A25" s="13">
        <v>3</v>
      </c>
      <c r="B25" s="9">
        <f t="shared" ca="1" si="0"/>
        <v>4</v>
      </c>
      <c r="C25" s="9" t="s">
        <v>108</v>
      </c>
      <c r="D25" s="9">
        <v>4</v>
      </c>
      <c r="E25" s="9" t="str">
        <f t="shared" ca="1" si="1"/>
        <v>Task 11</v>
      </c>
      <c r="F25" s="9" t="s">
        <v>19</v>
      </c>
      <c r="G25" s="9">
        <v>6</v>
      </c>
      <c r="H25" s="9"/>
      <c r="I25" s="10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54">
        <f>G25-SUMIF($H$3:$AA$3,H$3,Sprint!$H25:$AA25)</f>
        <v>6</v>
      </c>
      <c r="AC25" s="9" t="str">
        <f t="shared" ca="1" si="5"/>
        <v/>
      </c>
      <c r="AD25" s="9">
        <f>IF(SUMIF($H$3:H$3,H$3,Sprint!$H25:H25)&gt;0,I25,0)</f>
        <v>0</v>
      </c>
      <c r="AE25" s="10">
        <f>IF(SUMIF($H$3:H$3,H$3,Sprint!$H25:H25)=0,$G25,0)</f>
        <v>6</v>
      </c>
      <c r="AF25" s="9">
        <f>IF(SUMIF($H$3:J$3,J$3,Sprint!$H25:J25)&gt;0,K25,0)</f>
        <v>0</v>
      </c>
      <c r="AG25" s="10">
        <f>IF(SUMIF($H$3:J$3,J$3,Sprint!$H25:J25)=0,$G25,0)</f>
        <v>6</v>
      </c>
      <c r="AH25" s="9">
        <f>IF(SUMIF($H$3:L$3,L$3,Sprint!$H25:L25)&gt;0,M25,0)</f>
        <v>0</v>
      </c>
      <c r="AI25" s="10">
        <f>IF(SUMIF($H$3:L$3,L$3,Sprint!$H25:L25)=0,$G25,0)</f>
        <v>6</v>
      </c>
      <c r="AJ25" s="9">
        <f>IF(SUMIF($H$3:N$3,N$3,Sprint!$H25:N25)&gt;0,O25,0)</f>
        <v>0</v>
      </c>
      <c r="AK25" s="10">
        <f>IF(SUMIF($H$3:N$3,N$3,Sprint!$H25:N25)=0,$G25,0)</f>
        <v>6</v>
      </c>
      <c r="AL25" s="9">
        <f>IF(SUMIF($H$3:P$3,P$3,Sprint!$H25:P25)&gt;0,Q25,0)</f>
        <v>0</v>
      </c>
      <c r="AM25" s="10">
        <f>IF(SUMIF($H$3:P$3,P$3,Sprint!$H25:P25)=0,$G25,0)</f>
        <v>6</v>
      </c>
      <c r="AN25" s="9">
        <f>IF(SUMIF($H$3:R$3,R$3,Sprint!$H25:R25)&gt;0,S25,0)</f>
        <v>0</v>
      </c>
      <c r="AO25" s="10">
        <f>IF(SUMIF($H$3:R$3,R$3,Sprint!$H25:R25)=0,$G25,0)</f>
        <v>6</v>
      </c>
      <c r="AP25" s="9">
        <f>IF(SUMIF($H$3:T$3,T$3,Sprint!$H25:T25)&gt;0,U25,0)</f>
        <v>0</v>
      </c>
      <c r="AQ25" s="10">
        <f>IF(SUMIF($H$3:T$3,T$3,Sprint!$H25:T25)=0,$G25,0)</f>
        <v>6</v>
      </c>
      <c r="AR25" s="9">
        <f>IF(SUMIF($H$3:V$3,V$3,Sprint!$H25:V25)&gt;0,W25,0)</f>
        <v>0</v>
      </c>
      <c r="AS25" s="10">
        <f>IF(SUMIF($H$3:V$3,V$3,Sprint!$H25:V25)=0,$G25,0)</f>
        <v>6</v>
      </c>
      <c r="AT25" s="9">
        <f>IF(SUMIF($H$3:X$3,X$3,Sprint!$H25:X25)&gt;0,Y25,0)</f>
        <v>0</v>
      </c>
      <c r="AU25" s="10">
        <f>IF(SUMIF($H$3:X$3,X$3,Sprint!$H25:X25)=0,$G25,0)</f>
        <v>6</v>
      </c>
      <c r="AV25" s="9">
        <f>IF(SUMIF($H$3:Z$3,Z$3,Sprint!$H25:Z25)&gt;0,AA25,0)</f>
        <v>0</v>
      </c>
      <c r="AW25" s="10">
        <f>IF(SUMIF($H$3:Z$3,Z$3,Sprint!$H25:Z25)=0,$G25,0)</f>
        <v>6</v>
      </c>
      <c r="AX25" s="9">
        <f t="shared" ca="1" si="3"/>
        <v>6</v>
      </c>
    </row>
    <row r="26" spans="1:50" hidden="1" x14ac:dyDescent="0.3">
      <c r="A26" s="13">
        <v>2</v>
      </c>
      <c r="B26" s="9">
        <f ca="1">_xlfn.IFNA(INDEX(StoryID,MATCH(C26,Story,0)),"")</f>
        <v>1</v>
      </c>
      <c r="C26" s="9" t="s">
        <v>105</v>
      </c>
      <c r="D26" s="9">
        <v>1</v>
      </c>
      <c r="E26" s="9" t="str">
        <f ca="1">_xlfn.IFNA(INDEX(TaskNames,MATCH(D26,TaskList,0)),"")</f>
        <v>Task 1</v>
      </c>
      <c r="F26" s="9" t="s">
        <v>19</v>
      </c>
      <c r="G26" s="9">
        <v>2</v>
      </c>
      <c r="H26" s="9"/>
      <c r="I26" s="10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54">
        <f>G26-SUMIF($H$3:$AA$3,H$3,Sprint!$H26:$AA26)</f>
        <v>2</v>
      </c>
      <c r="AC26" s="9" t="str">
        <f ca="1">_xlfn.IFNA(IF(INDIRECT(ADDRESS(3,LOOKUP(2,1/(H26:AA26&lt;&gt;""),COLUMN(H26:AA26))))="Left",AB26-INDIRECT(ADDRESS(ROW(H26),LOOKUP(2,1/(H26:AA26&lt;&gt;""),COLUMN(H26:AA26)))),AB26),"")</f>
        <v/>
      </c>
      <c r="AD26" s="9">
        <f>IF(SUMIF($H$3:H$3,H$3,Sprint!$H26:H26)&gt;0,I26,0)</f>
        <v>0</v>
      </c>
      <c r="AE26" s="10">
        <f>IF(SUMIF($H$3:H$3,H$3,Sprint!$H26:H26)=0,$G26,0)</f>
        <v>2</v>
      </c>
      <c r="AF26" s="9">
        <f>IF(SUMIF($H$3:J$3,J$3,Sprint!$H26:J26)&gt;0,K26,0)</f>
        <v>0</v>
      </c>
      <c r="AG26" s="10">
        <f>IF(SUMIF($H$3:J$3,J$3,Sprint!$H26:J26)=0,$G26,0)</f>
        <v>2</v>
      </c>
      <c r="AH26" s="9">
        <f>IF(SUMIF($H$3:L$3,L$3,Sprint!$H26:L26)&gt;0,M26,0)</f>
        <v>0</v>
      </c>
      <c r="AI26" s="10">
        <f>IF(SUMIF($H$3:L$3,L$3,Sprint!$H26:L26)=0,$G26,0)</f>
        <v>2</v>
      </c>
      <c r="AJ26" s="9">
        <f>IF(SUMIF($H$3:N$3,N$3,Sprint!$H26:N26)&gt;0,O26,0)</f>
        <v>0</v>
      </c>
      <c r="AK26" s="10">
        <f>IF(SUMIF($H$3:N$3,N$3,Sprint!$H26:N26)=0,$G26,0)</f>
        <v>2</v>
      </c>
      <c r="AL26" s="9">
        <f>IF(SUMIF($H$3:P$3,P$3,Sprint!$H26:P26)&gt;0,Q26,0)</f>
        <v>0</v>
      </c>
      <c r="AM26" s="10">
        <f>IF(SUMIF($H$3:P$3,P$3,Sprint!$H26:P26)=0,$G26,0)</f>
        <v>2</v>
      </c>
      <c r="AN26" s="9">
        <f>IF(SUMIF($H$3:R$3,R$3,Sprint!$H26:R26)&gt;0,S26,0)</f>
        <v>0</v>
      </c>
      <c r="AO26" s="10">
        <f>IF(SUMIF($H$3:R$3,R$3,Sprint!$H26:R26)=0,$G26,0)</f>
        <v>2</v>
      </c>
      <c r="AP26" s="9">
        <f>IF(SUMIF($H$3:T$3,T$3,Sprint!$H26:T26)&gt;0,U26,0)</f>
        <v>0</v>
      </c>
      <c r="AQ26" s="10">
        <f>IF(SUMIF($H$3:T$3,T$3,Sprint!$H26:T26)=0,$G26,0)</f>
        <v>2</v>
      </c>
      <c r="AR26" s="9">
        <f>IF(SUMIF($H$3:V$3,V$3,Sprint!$H26:V26)&gt;0,W26,0)</f>
        <v>0</v>
      </c>
      <c r="AS26" s="10">
        <f>IF(SUMIF($H$3:V$3,V$3,Sprint!$H26:V26)=0,$G26,0)</f>
        <v>2</v>
      </c>
      <c r="AT26" s="9">
        <f>IF(SUMIF($H$3:X$3,X$3,Sprint!$H26:X26)&gt;0,Y26,0)</f>
        <v>0</v>
      </c>
      <c r="AU26" s="10">
        <f>IF(SUMIF($H$3:X$3,X$3,Sprint!$H26:X26)=0,$G26,0)</f>
        <v>2</v>
      </c>
      <c r="AV26" s="9">
        <f>IF(SUMIF($H$3:Z$3,Z$3,Sprint!$H26:Z26)&gt;0,AA26,0)</f>
        <v>0</v>
      </c>
      <c r="AW26" s="10">
        <f>IF(SUMIF($H$3:Z$3,Z$3,Sprint!$H26:Z26)=0,$G26,0)</f>
        <v>2</v>
      </c>
      <c r="AX26" s="9">
        <f ca="1">IF(COUNTA($H26:$AA26)&gt;0,_xlfn.IFNA(INDIRECT(ADDRESS(ROW($H26),LOOKUP(2,1/($H26:$AA26&lt;&gt;""),COLUMN($H26:$AA26)))),""),$G26)</f>
        <v>2</v>
      </c>
    </row>
    <row r="27" spans="1:50" x14ac:dyDescent="0.3">
      <c r="A27" s="13">
        <v>1</v>
      </c>
      <c r="B27" s="9">
        <f ca="1">_xlfn.IFNA(INDEX(StoryID,MATCH(C27,Story,0)),"")</f>
        <v>4</v>
      </c>
      <c r="C27" s="9" t="s">
        <v>108</v>
      </c>
      <c r="D27" s="9">
        <v>6</v>
      </c>
      <c r="E27" s="9" t="str">
        <f ca="1">_xlfn.IFNA(INDEX(TaskNames,MATCH(D27,TaskList,0)),"")</f>
        <v>Task 12</v>
      </c>
      <c r="F27" s="9" t="s">
        <v>136</v>
      </c>
      <c r="G27" s="9">
        <v>8</v>
      </c>
      <c r="H27" s="9"/>
      <c r="I27" s="10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54">
        <f>G27-SUMIF($H$3:$AA$3,H$3,Sprint!$H27:$AA27)</f>
        <v>8</v>
      </c>
      <c r="AC27" s="9" t="str">
        <f ca="1">_xlfn.IFNA(IF(INDIRECT(ADDRESS(3,LOOKUP(2,1/(H27:AA27&lt;&gt;""),COLUMN(H27:AA27))))="Left",AB27-INDIRECT(ADDRESS(ROW(H27),LOOKUP(2,1/(H27:AA27&lt;&gt;""),COLUMN(H27:AA27)))),AB27),"")</f>
        <v/>
      </c>
      <c r="AD27" s="9">
        <f>IF(SUMIF($H$3:H$3,H$3,Sprint!$H27:H27)&gt;0,I27,0)</f>
        <v>0</v>
      </c>
      <c r="AE27" s="10">
        <f>IF(SUMIF($H$3:H$3,H$3,Sprint!$H27:H27)=0,$G27,0)</f>
        <v>8</v>
      </c>
      <c r="AF27" s="9">
        <f>IF(SUMIF($H$3:J$3,J$3,Sprint!$H27:J27)&gt;0,K27,0)</f>
        <v>0</v>
      </c>
      <c r="AG27" s="10">
        <f>IF(SUMIF($H$3:J$3,J$3,Sprint!$H27:J27)=0,$G27,0)</f>
        <v>8</v>
      </c>
      <c r="AH27" s="9">
        <f>IF(SUMIF($H$3:L$3,L$3,Sprint!$H27:L27)&gt;0,M27,0)</f>
        <v>0</v>
      </c>
      <c r="AI27" s="10">
        <f>IF(SUMIF($H$3:L$3,L$3,Sprint!$H27:L27)=0,$G27,0)</f>
        <v>8</v>
      </c>
      <c r="AJ27" s="9">
        <f>IF(SUMIF($H$3:N$3,N$3,Sprint!$H27:N27)&gt;0,O27,0)</f>
        <v>0</v>
      </c>
      <c r="AK27" s="10">
        <f>IF(SUMIF($H$3:N$3,N$3,Sprint!$H27:N27)=0,$G27,0)</f>
        <v>8</v>
      </c>
      <c r="AL27" s="9">
        <f>IF(SUMIF($H$3:P$3,P$3,Sprint!$H27:P27)&gt;0,Q27,0)</f>
        <v>0</v>
      </c>
      <c r="AM27" s="10">
        <f>IF(SUMIF($H$3:P$3,P$3,Sprint!$H27:P27)=0,$G27,0)</f>
        <v>8</v>
      </c>
      <c r="AN27" s="9">
        <f>IF(SUMIF($H$3:R$3,R$3,Sprint!$H27:R27)&gt;0,S27,0)</f>
        <v>0</v>
      </c>
      <c r="AO27" s="10">
        <f>IF(SUMIF($H$3:R$3,R$3,Sprint!$H27:R27)=0,$G27,0)</f>
        <v>8</v>
      </c>
      <c r="AP27" s="9">
        <f>IF(SUMIF($H$3:T$3,T$3,Sprint!$H27:T27)&gt;0,U27,0)</f>
        <v>0</v>
      </c>
      <c r="AQ27" s="10">
        <f>IF(SUMIF($H$3:T$3,T$3,Sprint!$H27:T27)=0,$G27,0)</f>
        <v>8</v>
      </c>
      <c r="AR27" s="9">
        <f>IF(SUMIF($H$3:V$3,V$3,Sprint!$H27:V27)&gt;0,W27,0)</f>
        <v>0</v>
      </c>
      <c r="AS27" s="10">
        <f>IF(SUMIF($H$3:V$3,V$3,Sprint!$H27:V27)=0,$G27,0)</f>
        <v>8</v>
      </c>
      <c r="AT27" s="9">
        <f>IF(SUMIF($H$3:X$3,X$3,Sprint!$H27:X27)&gt;0,Y27,0)</f>
        <v>0</v>
      </c>
      <c r="AU27" s="10">
        <f>IF(SUMIF($H$3:X$3,X$3,Sprint!$H27:X27)=0,$G27,0)</f>
        <v>8</v>
      </c>
      <c r="AV27" s="9">
        <f>IF(SUMIF($H$3:Z$3,Z$3,Sprint!$H27:Z27)&gt;0,AA27,0)</f>
        <v>0</v>
      </c>
      <c r="AW27" s="10">
        <f>IF(SUMIF($H$3:Z$3,Z$3,Sprint!$H27:Z27)=0,$G27,0)</f>
        <v>8</v>
      </c>
      <c r="AX27" s="9">
        <f ca="1">IF(COUNTA($H27:$AA27)&gt;0,_xlfn.IFNA(INDIRECT(ADDRESS(ROW($H27),LOOKUP(2,1/($H27:$AA27&lt;&gt;""),COLUMN($H27:$AA27)))),""),$G27)</f>
        <v>8</v>
      </c>
    </row>
    <row r="28" spans="1:50" hidden="1" x14ac:dyDescent="0.3">
      <c r="A28" s="13">
        <v>6</v>
      </c>
      <c r="B28" s="9">
        <f ca="1">_xlfn.IFNA(INDEX(StoryID,MATCH(C28,Story,0)),"")</f>
        <v>2</v>
      </c>
      <c r="C28" s="9" t="s">
        <v>106</v>
      </c>
      <c r="D28" s="9">
        <v>3</v>
      </c>
      <c r="E28" s="9" t="str">
        <f ca="1">_xlfn.IFNA(INDEX(TaskNames,MATCH(D28,TaskList,0)),"")</f>
        <v>Task 2</v>
      </c>
      <c r="F28" s="9" t="s">
        <v>136</v>
      </c>
      <c r="G28" s="9">
        <v>1</v>
      </c>
      <c r="H28" s="9">
        <v>1</v>
      </c>
      <c r="I28" s="10">
        <v>0</v>
      </c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54">
        <f>G28-SUMIF($H$3:$AA$3,H$3,Sprint!$H28:$AA28)</f>
        <v>0</v>
      </c>
      <c r="AC28" s="9">
        <f ca="1">_xlfn.IFNA(IF(INDIRECT(ADDRESS(3,LOOKUP(2,1/(H28:AA28&lt;&gt;""),COLUMN(H28:AA28))))="Left",AB28-INDIRECT(ADDRESS(ROW(H28),LOOKUP(2,1/(H28:AA28&lt;&gt;""),COLUMN(H28:AA28)))),AB28),"")</f>
        <v>0</v>
      </c>
      <c r="AD28" s="9">
        <f>IF(SUMIF($H$3:H$3,H$3,Sprint!$H28:H28)&gt;0,I28,0)</f>
        <v>0</v>
      </c>
      <c r="AE28" s="10">
        <f>IF(SUMIF($H$3:H$3,H$3,Sprint!$H28:H28)=0,$G28,0)</f>
        <v>0</v>
      </c>
      <c r="AF28" s="9">
        <f>IF(SUMIF($H$3:J$3,J$3,Sprint!$H28:J28)&gt;0,K28,0)</f>
        <v>0</v>
      </c>
      <c r="AG28" s="10">
        <f>IF(SUMIF($H$3:J$3,J$3,Sprint!$H28:J28)=0,$G28,0)</f>
        <v>0</v>
      </c>
      <c r="AH28" s="9">
        <f>IF(SUMIF($H$3:L$3,L$3,Sprint!$H28:L28)&gt;0,M28,0)</f>
        <v>0</v>
      </c>
      <c r="AI28" s="10">
        <f>IF(SUMIF($H$3:L$3,L$3,Sprint!$H28:L28)=0,$G28,0)</f>
        <v>0</v>
      </c>
      <c r="AJ28" s="9">
        <f>IF(SUMIF($H$3:N$3,N$3,Sprint!$H28:N28)&gt;0,O28,0)</f>
        <v>0</v>
      </c>
      <c r="AK28" s="10">
        <f>IF(SUMIF($H$3:N$3,N$3,Sprint!$H28:N28)=0,$G28,0)</f>
        <v>0</v>
      </c>
      <c r="AL28" s="9">
        <f>IF(SUMIF($H$3:P$3,P$3,Sprint!$H28:P28)&gt;0,Q28,0)</f>
        <v>0</v>
      </c>
      <c r="AM28" s="10">
        <f>IF(SUMIF($H$3:P$3,P$3,Sprint!$H28:P28)=0,$G28,0)</f>
        <v>0</v>
      </c>
      <c r="AN28" s="9">
        <f>IF(SUMIF($H$3:R$3,R$3,Sprint!$H28:R28)&gt;0,S28,0)</f>
        <v>0</v>
      </c>
      <c r="AO28" s="10">
        <f>IF(SUMIF($H$3:R$3,R$3,Sprint!$H28:R28)=0,$G28,0)</f>
        <v>0</v>
      </c>
      <c r="AP28" s="9">
        <f>IF(SUMIF($H$3:T$3,T$3,Sprint!$H28:T28)&gt;0,U28,0)</f>
        <v>0</v>
      </c>
      <c r="AQ28" s="10">
        <f>IF(SUMIF($H$3:T$3,T$3,Sprint!$H28:T28)=0,$G28,0)</f>
        <v>0</v>
      </c>
      <c r="AR28" s="9">
        <f>IF(SUMIF($H$3:V$3,V$3,Sprint!$H28:V28)&gt;0,W28,0)</f>
        <v>0</v>
      </c>
      <c r="AS28" s="10">
        <f>IF(SUMIF($H$3:V$3,V$3,Sprint!$H28:V28)=0,$G28,0)</f>
        <v>0</v>
      </c>
      <c r="AT28" s="9">
        <f>IF(SUMIF($H$3:X$3,X$3,Sprint!$H28:X28)&gt;0,Y28,0)</f>
        <v>0</v>
      </c>
      <c r="AU28" s="10">
        <f>IF(SUMIF($H$3:X$3,X$3,Sprint!$H28:X28)=0,$G28,0)</f>
        <v>0</v>
      </c>
      <c r="AV28" s="9">
        <f>IF(SUMIF($H$3:Z$3,Z$3,Sprint!$H28:Z28)&gt;0,AA28,0)</f>
        <v>0</v>
      </c>
      <c r="AW28" s="10">
        <f>IF(SUMIF($H$3:Z$3,Z$3,Sprint!$H28:Z28)=0,$G28,0)</f>
        <v>0</v>
      </c>
      <c r="AX28" s="9">
        <f ca="1">IF(COUNTA($H28:$AA28)&gt;0,_xlfn.IFNA(INDIRECT(ADDRESS(ROW($H28),LOOKUP(2,1/($H28:$AA28&lt;&gt;""),COLUMN($H28:$AA28)))),""),$G28)</f>
        <v>0</v>
      </c>
    </row>
    <row r="29" spans="1:50" x14ac:dyDescent="0.3">
      <c r="A29" s="13"/>
      <c r="B29" s="9" t="str">
        <f t="shared" ca="1" si="0"/>
        <v/>
      </c>
      <c r="C29" s="9"/>
      <c r="D29" s="9"/>
      <c r="E29" s="9" t="str">
        <f t="shared" ca="1" si="1"/>
        <v/>
      </c>
      <c r="F29" s="9"/>
      <c r="G29" s="9"/>
      <c r="H29" s="9"/>
      <c r="I29" s="10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54">
        <f>G29-SUMIF($H$3:$AA$3,H$3,Sprint!$H29:$AA29)</f>
        <v>0</v>
      </c>
      <c r="AC29" s="9" t="str">
        <f t="shared" ca="1" si="5"/>
        <v/>
      </c>
      <c r="AD29" s="9">
        <f>IF(SUMIF($H$3:H$3,H$3,Sprint!$H29:H29)&gt;0,I29,0)</f>
        <v>0</v>
      </c>
      <c r="AE29" s="10">
        <f>IF(SUMIF($H$3:H$3,H$3,Sprint!$H29:H29)=0,$G29,0)</f>
        <v>0</v>
      </c>
      <c r="AF29" s="9">
        <f>IF(SUMIF($H$3:J$3,J$3,Sprint!$H29:J29)&gt;0,K29,0)</f>
        <v>0</v>
      </c>
      <c r="AG29" s="10">
        <f>IF(SUMIF($H$3:J$3,J$3,Sprint!$H29:J29)=0,$G29,0)</f>
        <v>0</v>
      </c>
      <c r="AH29" s="9">
        <f>IF(SUMIF($H$3:L$3,L$3,Sprint!$H29:L29)&gt;0,M29,0)</f>
        <v>0</v>
      </c>
      <c r="AI29" s="10">
        <f>IF(SUMIF($H$3:L$3,L$3,Sprint!$H29:L29)=0,$G29,0)</f>
        <v>0</v>
      </c>
      <c r="AJ29" s="9">
        <f>IF(SUMIF($H$3:N$3,N$3,Sprint!$H29:N29)&gt;0,O29,0)</f>
        <v>0</v>
      </c>
      <c r="AK29" s="10">
        <f>IF(SUMIF($H$3:N$3,N$3,Sprint!$H29:N29)=0,$G29,0)</f>
        <v>0</v>
      </c>
      <c r="AL29" s="9">
        <f>IF(SUMIF($H$3:P$3,P$3,Sprint!$H29:P29)&gt;0,Q29,0)</f>
        <v>0</v>
      </c>
      <c r="AM29" s="10">
        <f>IF(SUMIF($H$3:P$3,P$3,Sprint!$H29:P29)=0,$G29,0)</f>
        <v>0</v>
      </c>
      <c r="AN29" s="9">
        <f>IF(SUMIF($H$3:R$3,R$3,Sprint!$H29:R29)&gt;0,S29,0)</f>
        <v>0</v>
      </c>
      <c r="AO29" s="10">
        <f>IF(SUMIF($H$3:R$3,R$3,Sprint!$H29:R29)=0,$G29,0)</f>
        <v>0</v>
      </c>
      <c r="AP29" s="9">
        <f>IF(SUMIF($H$3:T$3,T$3,Sprint!$H29:T29)&gt;0,U29,0)</f>
        <v>0</v>
      </c>
      <c r="AQ29" s="10">
        <f>IF(SUMIF($H$3:T$3,T$3,Sprint!$H29:T29)=0,$G29,0)</f>
        <v>0</v>
      </c>
      <c r="AR29" s="9">
        <f>IF(SUMIF($H$3:V$3,V$3,Sprint!$H29:V29)&gt;0,W29,0)</f>
        <v>0</v>
      </c>
      <c r="AS29" s="10">
        <f>IF(SUMIF($H$3:V$3,V$3,Sprint!$H29:V29)=0,$G29,0)</f>
        <v>0</v>
      </c>
      <c r="AT29" s="9">
        <f>IF(SUMIF($H$3:X$3,X$3,Sprint!$H29:X29)&gt;0,Y29,0)</f>
        <v>0</v>
      </c>
      <c r="AU29" s="10">
        <f>IF(SUMIF($H$3:X$3,X$3,Sprint!$H29:X29)=0,$G29,0)</f>
        <v>0</v>
      </c>
      <c r="AV29" s="9">
        <f>IF(SUMIF($H$3:Z$3,Z$3,Sprint!$H29:Z29)&gt;0,AA29,0)</f>
        <v>0</v>
      </c>
      <c r="AW29" s="10">
        <f>IF(SUMIF($H$3:Z$3,Z$3,Sprint!$H29:Z29)=0,$G29,0)</f>
        <v>0</v>
      </c>
      <c r="AX29" s="9">
        <f t="shared" ca="1" si="3"/>
        <v>0</v>
      </c>
    </row>
    <row r="30" spans="1:50" x14ac:dyDescent="0.3">
      <c r="A30" s="13"/>
      <c r="B30" s="9" t="str">
        <f t="shared" ca="1" si="0"/>
        <v/>
      </c>
      <c r="C30" s="9"/>
      <c r="D30" s="9"/>
      <c r="E30" s="9" t="str">
        <f t="shared" ref="E30:E31" ca="1" si="6">_xlfn.IFNA(INDEX(TaskNames,MATCH(D30,TaskList,0)),"")</f>
        <v/>
      </c>
      <c r="F30" s="9"/>
      <c r="G30" s="9"/>
      <c r="H30" s="9"/>
      <c r="I30" s="10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54">
        <f>G30-SUMIF($H$3:$AA$3,H$3,Sprint!$H30:$AA30)</f>
        <v>0</v>
      </c>
      <c r="AC30" s="9" t="str">
        <f t="shared" ca="1" si="5"/>
        <v/>
      </c>
      <c r="AD30" s="9">
        <f>IF(SUMIF($H$3:H$3,H$3,Sprint!$H30:H30)&gt;0,I30,0)</f>
        <v>0</v>
      </c>
      <c r="AE30" s="10">
        <f>IF(SUMIF($H$3:H$3,H$3,Sprint!$H30:H30)=0,$G30,0)</f>
        <v>0</v>
      </c>
      <c r="AF30" s="9">
        <f>IF(SUMIF($H$3:J$3,J$3,Sprint!$H30:J30)&gt;0,K30,0)</f>
        <v>0</v>
      </c>
      <c r="AG30" s="10">
        <f>IF(SUMIF($H$3:J$3,J$3,Sprint!$H30:J30)=0,$G30,0)</f>
        <v>0</v>
      </c>
      <c r="AH30" s="9">
        <f>IF(SUMIF($H$3:L$3,L$3,Sprint!$H30:L30)&gt;0,M30,0)</f>
        <v>0</v>
      </c>
      <c r="AI30" s="10">
        <f>IF(SUMIF($H$3:L$3,L$3,Sprint!$H30:L30)=0,$G30,0)</f>
        <v>0</v>
      </c>
      <c r="AJ30" s="9">
        <f>IF(SUMIF($H$3:N$3,N$3,Sprint!$H30:N30)&gt;0,O30,0)</f>
        <v>0</v>
      </c>
      <c r="AK30" s="10">
        <f>IF(SUMIF($H$3:N$3,N$3,Sprint!$H30:N30)=0,$G30,0)</f>
        <v>0</v>
      </c>
      <c r="AL30" s="9">
        <f>IF(SUMIF($H$3:P$3,P$3,Sprint!$H30:P30)&gt;0,Q30,0)</f>
        <v>0</v>
      </c>
      <c r="AM30" s="10">
        <f>IF(SUMIF($H$3:P$3,P$3,Sprint!$H30:P30)=0,$G30,0)</f>
        <v>0</v>
      </c>
      <c r="AN30" s="9">
        <f>IF(SUMIF($H$3:R$3,R$3,Sprint!$H30:R30)&gt;0,S30,0)</f>
        <v>0</v>
      </c>
      <c r="AO30" s="10">
        <f>IF(SUMIF($H$3:R$3,R$3,Sprint!$H30:R30)=0,$G30,0)</f>
        <v>0</v>
      </c>
      <c r="AP30" s="9">
        <f>IF(SUMIF($H$3:T$3,T$3,Sprint!$H30:T30)&gt;0,U30,0)</f>
        <v>0</v>
      </c>
      <c r="AQ30" s="10">
        <f>IF(SUMIF($H$3:T$3,T$3,Sprint!$H30:T30)=0,$G30,0)</f>
        <v>0</v>
      </c>
      <c r="AR30" s="9">
        <f>IF(SUMIF($H$3:V$3,V$3,Sprint!$H30:V30)&gt;0,W30,0)</f>
        <v>0</v>
      </c>
      <c r="AS30" s="10">
        <f>IF(SUMIF($H$3:V$3,V$3,Sprint!$H30:V30)=0,$G30,0)</f>
        <v>0</v>
      </c>
      <c r="AT30" s="9">
        <f>IF(SUMIF($H$3:X$3,X$3,Sprint!$H30:X30)&gt;0,Y30,0)</f>
        <v>0</v>
      </c>
      <c r="AU30" s="10">
        <f>IF(SUMIF($H$3:X$3,X$3,Sprint!$H30:X30)=0,$G30,0)</f>
        <v>0</v>
      </c>
      <c r="AV30" s="9">
        <f>IF(SUMIF($H$3:Z$3,Z$3,Sprint!$H30:Z30)&gt;0,AA30,0)</f>
        <v>0</v>
      </c>
      <c r="AW30" s="10">
        <f>IF(SUMIF($H$3:Z$3,Z$3,Sprint!$H30:Z30)=0,$G30,0)</f>
        <v>0</v>
      </c>
      <c r="AX30" s="9">
        <f t="shared" ca="1" si="3"/>
        <v>0</v>
      </c>
    </row>
    <row r="31" spans="1:50" x14ac:dyDescent="0.3">
      <c r="A31" s="13"/>
      <c r="B31" s="9" t="str">
        <f t="shared" ca="1" si="0"/>
        <v/>
      </c>
      <c r="C31" s="9"/>
      <c r="D31" s="9"/>
      <c r="E31" s="9" t="str">
        <f t="shared" ca="1" si="6"/>
        <v/>
      </c>
      <c r="F31" s="9"/>
      <c r="G31" s="9"/>
      <c r="H31" s="9"/>
      <c r="I31" s="10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54">
        <f>G31-SUMIF($H$3:$AA$3,H$3,Sprint!$H31:$AA31)</f>
        <v>0</v>
      </c>
      <c r="AC31" s="9" t="str">
        <f t="shared" ref="AC31" ca="1" si="7">_xlfn.IFNA(IF(INDIRECT(ADDRESS(3,LOOKUP(2,1/(H31:AA31&lt;&gt;""),COLUMN(H31:AA31))))="Left",AB31-INDIRECT(ADDRESS(ROW(H31),LOOKUP(2,1/(H31:AA31&lt;&gt;""),COLUMN(H31:AA31)))),AB31),"")</f>
        <v/>
      </c>
      <c r="AD31" s="9">
        <f>IF(SUMIF($H$3:H$3,H$3,Sprint!$H31:H31)&gt;0,I31,0)</f>
        <v>0</v>
      </c>
      <c r="AE31" s="10">
        <f>IF(SUMIF($H$3:H$3,H$3,Sprint!$H31:H31)=0,$G31,0)</f>
        <v>0</v>
      </c>
      <c r="AF31" s="9">
        <f>IF(SUMIF($H$3:J$3,J$3,Sprint!$H31:J31)&gt;0,K31,0)</f>
        <v>0</v>
      </c>
      <c r="AG31" s="10">
        <f>IF(SUMIF($H$3:J$3,J$3,Sprint!$H31:J31)=0,$G31,0)</f>
        <v>0</v>
      </c>
      <c r="AH31" s="9">
        <f>IF(SUMIF($H$3:L$3,L$3,Sprint!$H31:L31)&gt;0,M31,0)</f>
        <v>0</v>
      </c>
      <c r="AI31" s="10">
        <f>IF(SUMIF($H$3:L$3,L$3,Sprint!$H31:L31)=0,$G31,0)</f>
        <v>0</v>
      </c>
      <c r="AJ31" s="9">
        <f>IF(SUMIF($H$3:N$3,N$3,Sprint!$H31:N31)&gt;0,O31,0)</f>
        <v>0</v>
      </c>
      <c r="AK31" s="10">
        <f>IF(SUMIF($H$3:N$3,N$3,Sprint!$H31:N31)=0,$G31,0)</f>
        <v>0</v>
      </c>
      <c r="AL31" s="9">
        <f>IF(SUMIF($H$3:P$3,P$3,Sprint!$H31:P31)&gt;0,Q31,0)</f>
        <v>0</v>
      </c>
      <c r="AM31" s="10">
        <f>IF(SUMIF($H$3:P$3,P$3,Sprint!$H31:P31)=0,$G31,0)</f>
        <v>0</v>
      </c>
      <c r="AN31" s="9">
        <f>IF(SUMIF($H$3:R$3,R$3,Sprint!$H31:R31)&gt;0,S31,0)</f>
        <v>0</v>
      </c>
      <c r="AO31" s="10">
        <f>IF(SUMIF($H$3:R$3,R$3,Sprint!$H31:R31)=0,$G31,0)</f>
        <v>0</v>
      </c>
      <c r="AP31" s="9">
        <f>IF(SUMIF($H$3:T$3,T$3,Sprint!$H31:T31)&gt;0,U31,0)</f>
        <v>0</v>
      </c>
      <c r="AQ31" s="10">
        <f>IF(SUMIF($H$3:T$3,T$3,Sprint!$H31:T31)=0,$G31,0)</f>
        <v>0</v>
      </c>
      <c r="AR31" s="9">
        <f>IF(SUMIF($H$3:V$3,V$3,Sprint!$H31:V31)&gt;0,W31,0)</f>
        <v>0</v>
      </c>
      <c r="AS31" s="10">
        <f>IF(SUMIF($H$3:V$3,V$3,Sprint!$H31:V31)=0,$G31,0)</f>
        <v>0</v>
      </c>
      <c r="AT31" s="9">
        <f>IF(SUMIF($H$3:X$3,X$3,Sprint!$H31:X31)&gt;0,Y31,0)</f>
        <v>0</v>
      </c>
      <c r="AU31" s="10">
        <f>IF(SUMIF($H$3:X$3,X$3,Sprint!$H31:X31)=0,$G31,0)</f>
        <v>0</v>
      </c>
      <c r="AV31" s="9">
        <f>IF(SUMIF($H$3:Z$3,Z$3,Sprint!$H31:Z31)&gt;0,AA31,0)</f>
        <v>0</v>
      </c>
      <c r="AW31" s="10">
        <f>IF(SUMIF($H$3:Z$3,Z$3,Sprint!$H31:Z31)=0,$G31,0)</f>
        <v>0</v>
      </c>
      <c r="AX31" s="9">
        <f t="shared" ca="1" si="3"/>
        <v>0</v>
      </c>
    </row>
    <row r="32" spans="1:50" ht="15" thickBot="1" x14ac:dyDescent="0.35">
      <c r="A32" s="63">
        <f>A2</f>
        <v>1</v>
      </c>
      <c r="B32" s="63"/>
      <c r="C32" s="63"/>
      <c r="D32" s="63"/>
      <c r="E32" s="63" t="s">
        <v>15</v>
      </c>
      <c r="F32" s="63"/>
      <c r="G32" s="63">
        <f t="shared" ref="G32:AC32" si="8">SUMIF($A$5:$A$31,$A$2,G$5:G$31)</f>
        <v>177</v>
      </c>
      <c r="H32" s="63">
        <f t="shared" si="8"/>
        <v>12</v>
      </c>
      <c r="I32" s="63">
        <f t="shared" si="8"/>
        <v>108</v>
      </c>
      <c r="J32" s="63">
        <f t="shared" si="8"/>
        <v>13</v>
      </c>
      <c r="K32" s="63">
        <f t="shared" si="8"/>
        <v>95</v>
      </c>
      <c r="L32" s="63">
        <f t="shared" si="8"/>
        <v>18</v>
      </c>
      <c r="M32" s="63">
        <f t="shared" si="8"/>
        <v>87</v>
      </c>
      <c r="N32" s="63">
        <f t="shared" si="8"/>
        <v>16</v>
      </c>
      <c r="O32" s="63">
        <f t="shared" si="8"/>
        <v>75</v>
      </c>
      <c r="P32" s="63">
        <f t="shared" si="8"/>
        <v>18</v>
      </c>
      <c r="Q32" s="63">
        <f t="shared" si="8"/>
        <v>56</v>
      </c>
      <c r="R32" s="63">
        <f t="shared" si="8"/>
        <v>18</v>
      </c>
      <c r="S32" s="63">
        <f t="shared" si="8"/>
        <v>72</v>
      </c>
      <c r="T32" s="63">
        <f t="shared" si="8"/>
        <v>22</v>
      </c>
      <c r="U32" s="63">
        <f t="shared" si="8"/>
        <v>46</v>
      </c>
      <c r="V32" s="63">
        <f t="shared" si="8"/>
        <v>16</v>
      </c>
      <c r="W32" s="63">
        <f t="shared" si="8"/>
        <v>32</v>
      </c>
      <c r="X32" s="63">
        <f t="shared" si="8"/>
        <v>24</v>
      </c>
      <c r="Y32" s="63">
        <f t="shared" si="8"/>
        <v>32</v>
      </c>
      <c r="Z32" s="63">
        <f t="shared" si="8"/>
        <v>24</v>
      </c>
      <c r="AA32" s="63">
        <f t="shared" si="8"/>
        <v>14</v>
      </c>
      <c r="AB32" s="63">
        <f t="shared" si="8"/>
        <v>-4</v>
      </c>
      <c r="AC32" s="63">
        <f t="shared" ca="1" si="8"/>
        <v>-26</v>
      </c>
      <c r="AD32" s="63">
        <f t="shared" ref="AD32:AW32" si="9">SUMIF($A$5:$A$31,$B$1,AD$5:AD$31)</f>
        <v>108</v>
      </c>
      <c r="AE32" s="63">
        <f t="shared" si="9"/>
        <v>80</v>
      </c>
      <c r="AF32" s="63">
        <f t="shared" si="9"/>
        <v>95</v>
      </c>
      <c r="AG32" s="63">
        <f t="shared" si="9"/>
        <v>80</v>
      </c>
      <c r="AH32" s="63">
        <f t="shared" si="9"/>
        <v>87</v>
      </c>
      <c r="AI32" s="63">
        <f t="shared" si="9"/>
        <v>68</v>
      </c>
      <c r="AJ32" s="63">
        <f t="shared" si="9"/>
        <v>75</v>
      </c>
      <c r="AK32" s="63">
        <f t="shared" si="9"/>
        <v>48</v>
      </c>
      <c r="AL32" s="63">
        <f t="shared" si="9"/>
        <v>56</v>
      </c>
      <c r="AM32" s="63">
        <f t="shared" si="9"/>
        <v>48</v>
      </c>
      <c r="AN32" s="63">
        <f t="shared" si="9"/>
        <v>72</v>
      </c>
      <c r="AO32" s="63">
        <f t="shared" si="9"/>
        <v>8</v>
      </c>
      <c r="AP32" s="63">
        <f t="shared" si="9"/>
        <v>46</v>
      </c>
      <c r="AQ32" s="63">
        <f t="shared" si="9"/>
        <v>8</v>
      </c>
      <c r="AR32" s="63">
        <f t="shared" si="9"/>
        <v>32</v>
      </c>
      <c r="AS32" s="63">
        <f t="shared" si="9"/>
        <v>8</v>
      </c>
      <c r="AT32" s="63">
        <f t="shared" si="9"/>
        <v>32</v>
      </c>
      <c r="AU32" s="63">
        <f t="shared" si="9"/>
        <v>8</v>
      </c>
      <c r="AV32" s="63">
        <f t="shared" si="9"/>
        <v>14</v>
      </c>
      <c r="AW32" s="63">
        <f t="shared" si="9"/>
        <v>8</v>
      </c>
      <c r="AX32" s="64">
        <f ca="1">SUMIF($A$5:$A$31,$A$2,AX$5:AX$31)</f>
        <v>22</v>
      </c>
    </row>
    <row r="33" spans="1:4" ht="15" thickTop="1" x14ac:dyDescent="0.3"/>
    <row r="35" spans="1:4" x14ac:dyDescent="0.3">
      <c r="C35" s="14"/>
      <c r="D35" s="14"/>
    </row>
    <row r="36" spans="1:4" x14ac:dyDescent="0.3">
      <c r="A36" s="12"/>
    </row>
  </sheetData>
  <mergeCells count="22">
    <mergeCell ref="AV2:AW2"/>
    <mergeCell ref="F2:G2"/>
    <mergeCell ref="AL2:AM2"/>
    <mergeCell ref="AN2:AO2"/>
    <mergeCell ref="AP2:AQ2"/>
    <mergeCell ref="AR2:AS2"/>
    <mergeCell ref="AT2:AU2"/>
    <mergeCell ref="AB2:AC2"/>
    <mergeCell ref="AD2:AE2"/>
    <mergeCell ref="AF2:AG2"/>
    <mergeCell ref="AH2:AI2"/>
    <mergeCell ref="AJ2:AK2"/>
    <mergeCell ref="R2:S2"/>
    <mergeCell ref="T2:U2"/>
    <mergeCell ref="V2:W2"/>
    <mergeCell ref="X2:Y2"/>
    <mergeCell ref="Z2:AA2"/>
    <mergeCell ref="H2:I2"/>
    <mergeCell ref="J2:K2"/>
    <mergeCell ref="L2:M2"/>
    <mergeCell ref="N2:O2"/>
    <mergeCell ref="P2:Q2"/>
  </mergeCells>
  <conditionalFormatting sqref="A5:AX31">
    <cfRule type="expression" dxfId="70" priority="5">
      <formula>$AC5&lt;0</formula>
    </cfRule>
  </conditionalFormatting>
  <dataValidations count="17">
    <dataValidation type="list" allowBlank="1" showInputMessage="1" showErrorMessage="1" sqref="D19">
      <formula1>"1,3,5,7"</formula1>
    </dataValidation>
    <dataValidation type="list" allowBlank="1" showInputMessage="1" showErrorMessage="1" sqref="D17:D18">
      <formula1>"9,11,13,15"</formula1>
    </dataValidation>
    <dataValidation type="list" allowBlank="1" showInputMessage="1" showErrorMessage="1" sqref="D12 D21">
      <formula1>"4,6"</formula1>
    </dataValidation>
    <dataValidation type="list" allowBlank="1" showInputMessage="1" showErrorMessage="1" sqref="D6 D15 D10">
      <formula1>"17,2"</formula1>
    </dataValidation>
    <dataValidation type="list" allowBlank="1" showInputMessage="1" showErrorMessage="1" sqref="C5:C31">
      <formula1>Story</formula1>
    </dataValidation>
    <dataValidation type="list" allowBlank="1" showInputMessage="1" showErrorMessage="1" sqref="F5:F31">
      <formula1>Resource</formula1>
    </dataValidation>
    <dataValidation type="list" allowBlank="1" showInputMessage="1" showErrorMessage="1" sqref="D13">
      <formula1>"3"</formula1>
    </dataValidation>
    <dataValidation type="list" allowBlank="1" showInputMessage="1" showErrorMessage="1" sqref="D9">
      <formula1>"1"</formula1>
    </dataValidation>
    <dataValidation type="list" allowBlank="1" showInputMessage="1" showErrorMessage="1" sqref="D8 D16 D5 D28">
      <formula1>"3,9,11,13,15,"</formula1>
    </dataValidation>
    <dataValidation type="list" allowBlank="1" showInputMessage="1" showErrorMessage="1" sqref="D24 D7 D26">
      <formula1>"1,5,7,19,"</formula1>
    </dataValidation>
    <dataValidation type="whole" operator="greaterThanOrEqual" showInputMessage="1" showErrorMessage="1" sqref="G5:G7">
      <formula1>0</formula1>
    </dataValidation>
    <dataValidation type="whole" operator="greaterThanOrEqual" allowBlank="1" showInputMessage="1" showErrorMessage="1" errorTitle="Invalid" error="Enter a number equal or greater than 0" sqref="G8:G25 G27:G31">
      <formula1>0</formula1>
    </dataValidation>
    <dataValidation type="whole" operator="greaterThanOrEqual" showInputMessage="1" showErrorMessage="1" errorTitle="Invalid" error="Enter a number equal or greater than 0" sqref="G26">
      <formula1>0</formula1>
    </dataValidation>
    <dataValidation type="list" allowBlank="1" showInputMessage="1" showErrorMessage="1" sqref="D14 D11">
      <formula1>"17,2,"</formula1>
    </dataValidation>
    <dataValidation type="list" allowBlank="1" showInputMessage="1" showErrorMessage="1" sqref="D25 D27">
      <formula1>"4,6,"</formula1>
    </dataValidation>
    <dataValidation type="list" allowBlank="1" showInputMessage="1" showErrorMessage="1" sqref="D23">
      <formula1>"20,"</formula1>
    </dataValidation>
    <dataValidation type="list" allowBlank="1" showInputMessage="1" showErrorMessage="1" sqref="D20 D22">
      <formula1>"12,"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indTask_Click">
                <anchor moveWithCells="1" sizeWithCells="1">
                  <from>
                    <xdr:col>4</xdr:col>
                    <xdr:colOff>1722120</xdr:colOff>
                    <xdr:row>0</xdr:row>
                    <xdr:rowOff>0</xdr:rowOff>
                  </from>
                  <to>
                    <xdr:col>4</xdr:col>
                    <xdr:colOff>2491740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Sprints!$A$2:$A$62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5"/>
  <sheetViews>
    <sheetView workbookViewId="0">
      <selection activeCell="C3" sqref="C3"/>
    </sheetView>
  </sheetViews>
  <sheetFormatPr defaultRowHeight="14.4" x14ac:dyDescent="0.3"/>
  <cols>
    <col min="1" max="1" width="10.21875" customWidth="1"/>
    <col min="2" max="2" width="10.5546875" customWidth="1"/>
    <col min="3" max="3" width="29.6640625" bestFit="1" customWidth="1"/>
    <col min="4" max="4" width="22.88671875" customWidth="1"/>
    <col min="5" max="5" width="46.109375" customWidth="1"/>
  </cols>
  <sheetData>
    <row r="1" spans="1:6" x14ac:dyDescent="0.3">
      <c r="A1" s="50" t="s">
        <v>132</v>
      </c>
      <c r="B1" s="50" t="s">
        <v>85</v>
      </c>
      <c r="C1" s="50" t="s">
        <v>0</v>
      </c>
      <c r="D1" s="50" t="s">
        <v>86</v>
      </c>
      <c r="E1" s="50" t="s">
        <v>87</v>
      </c>
      <c r="F1" s="50" t="s">
        <v>88</v>
      </c>
    </row>
    <row r="2" spans="1:6" x14ac:dyDescent="0.3">
      <c r="A2" s="51">
        <v>1</v>
      </c>
      <c r="B2" s="51">
        <f t="shared" ref="B2:B16" ca="1" si="0">_xlfn.IFNA(INDEX(StoryID,MATCH(C2,Story,0)),"")</f>
        <v>1</v>
      </c>
      <c r="C2" s="51" t="s">
        <v>105</v>
      </c>
      <c r="D2" s="51" t="s">
        <v>93</v>
      </c>
      <c r="E2" s="51"/>
      <c r="F2" s="51" t="s">
        <v>89</v>
      </c>
    </row>
    <row r="3" spans="1:6" x14ac:dyDescent="0.3">
      <c r="A3" s="52">
        <v>3</v>
      </c>
      <c r="B3" s="52">
        <f t="shared" ca="1" si="0"/>
        <v>2</v>
      </c>
      <c r="C3" s="52" t="s">
        <v>106</v>
      </c>
      <c r="D3" s="52" t="s">
        <v>94</v>
      </c>
      <c r="E3" s="52"/>
      <c r="F3" s="52" t="s">
        <v>89</v>
      </c>
    </row>
    <row r="4" spans="1:6" x14ac:dyDescent="0.3">
      <c r="A4" s="52">
        <v>5</v>
      </c>
      <c r="B4" s="52">
        <f t="shared" ca="1" si="0"/>
        <v>1</v>
      </c>
      <c r="C4" s="52" t="s">
        <v>105</v>
      </c>
      <c r="D4" s="52" t="s">
        <v>95</v>
      </c>
      <c r="E4" s="52"/>
      <c r="F4" s="52" t="s">
        <v>89</v>
      </c>
    </row>
    <row r="5" spans="1:6" x14ac:dyDescent="0.3">
      <c r="A5" s="52">
        <v>7</v>
      </c>
      <c r="B5" s="52">
        <f t="shared" ca="1" si="0"/>
        <v>1</v>
      </c>
      <c r="C5" s="52" t="s">
        <v>105</v>
      </c>
      <c r="D5" s="52" t="s">
        <v>96</v>
      </c>
      <c r="E5" s="52"/>
      <c r="F5" s="52" t="s">
        <v>89</v>
      </c>
    </row>
    <row r="6" spans="1:6" x14ac:dyDescent="0.3">
      <c r="A6" s="52">
        <v>9</v>
      </c>
      <c r="B6" s="52">
        <f t="shared" ca="1" si="0"/>
        <v>2</v>
      </c>
      <c r="C6" s="52" t="s">
        <v>106</v>
      </c>
      <c r="D6" s="52" t="s">
        <v>97</v>
      </c>
      <c r="E6" s="52"/>
      <c r="F6" s="52" t="s">
        <v>89</v>
      </c>
    </row>
    <row r="7" spans="1:6" x14ac:dyDescent="0.3">
      <c r="A7" s="52">
        <v>11</v>
      </c>
      <c r="B7" s="52">
        <f t="shared" ca="1" si="0"/>
        <v>2</v>
      </c>
      <c r="C7" s="52" t="s">
        <v>106</v>
      </c>
      <c r="D7" s="52" t="s">
        <v>98</v>
      </c>
      <c r="E7" s="52"/>
      <c r="F7" s="52" t="s">
        <v>89</v>
      </c>
    </row>
    <row r="8" spans="1:6" x14ac:dyDescent="0.3">
      <c r="A8" s="52">
        <v>13</v>
      </c>
      <c r="B8" s="52">
        <f t="shared" ca="1" si="0"/>
        <v>2</v>
      </c>
      <c r="C8" s="52" t="s">
        <v>106</v>
      </c>
      <c r="D8" s="52" t="s">
        <v>99</v>
      </c>
      <c r="E8" s="52"/>
      <c r="F8" s="52" t="s">
        <v>89</v>
      </c>
    </row>
    <row r="9" spans="1:6" x14ac:dyDescent="0.3">
      <c r="A9" s="52">
        <v>15</v>
      </c>
      <c r="B9" s="52">
        <f t="shared" ca="1" si="0"/>
        <v>2</v>
      </c>
      <c r="C9" s="52" t="s">
        <v>106</v>
      </c>
      <c r="D9" s="52" t="s">
        <v>100</v>
      </c>
      <c r="E9" s="52"/>
      <c r="F9" s="52" t="s">
        <v>89</v>
      </c>
    </row>
    <row r="10" spans="1:6" x14ac:dyDescent="0.3">
      <c r="A10" s="52">
        <v>17</v>
      </c>
      <c r="B10" s="52">
        <f t="shared" ca="1" si="0"/>
        <v>3</v>
      </c>
      <c r="C10" s="52" t="s">
        <v>107</v>
      </c>
      <c r="D10" s="52" t="s">
        <v>101</v>
      </c>
      <c r="E10" s="52"/>
      <c r="F10" s="52" t="s">
        <v>89</v>
      </c>
    </row>
    <row r="11" spans="1:6" x14ac:dyDescent="0.3">
      <c r="A11" s="52">
        <v>2</v>
      </c>
      <c r="B11" s="52">
        <f t="shared" ca="1" si="0"/>
        <v>3</v>
      </c>
      <c r="C11" s="52" t="s">
        <v>107</v>
      </c>
      <c r="D11" s="52" t="s">
        <v>102</v>
      </c>
      <c r="E11" s="52"/>
      <c r="F11" s="52" t="s">
        <v>89</v>
      </c>
    </row>
    <row r="12" spans="1:6" x14ac:dyDescent="0.3">
      <c r="A12" s="52">
        <v>4</v>
      </c>
      <c r="B12" s="52">
        <f t="shared" ca="1" si="0"/>
        <v>4</v>
      </c>
      <c r="C12" s="52" t="s">
        <v>108</v>
      </c>
      <c r="D12" s="52" t="s">
        <v>103</v>
      </c>
      <c r="E12" s="52"/>
      <c r="F12" s="52" t="s">
        <v>89</v>
      </c>
    </row>
    <row r="13" spans="1:6" x14ac:dyDescent="0.3">
      <c r="A13" s="52">
        <v>6</v>
      </c>
      <c r="B13" s="52">
        <f t="shared" ca="1" si="0"/>
        <v>4</v>
      </c>
      <c r="C13" s="52" t="s">
        <v>108</v>
      </c>
      <c r="D13" s="52" t="s">
        <v>104</v>
      </c>
      <c r="E13" s="52"/>
      <c r="F13" s="52" t="s">
        <v>89</v>
      </c>
    </row>
    <row r="14" spans="1:6" x14ac:dyDescent="0.3">
      <c r="A14" s="52">
        <v>12</v>
      </c>
      <c r="B14" s="52">
        <f t="shared" ca="1" si="0"/>
        <v>5</v>
      </c>
      <c r="C14" s="52" t="s">
        <v>109</v>
      </c>
      <c r="D14" s="52" t="s">
        <v>133</v>
      </c>
      <c r="E14" s="52"/>
      <c r="F14" s="52" t="s">
        <v>89</v>
      </c>
    </row>
    <row r="15" spans="1:6" x14ac:dyDescent="0.3">
      <c r="A15" s="52">
        <v>19</v>
      </c>
      <c r="B15" s="52">
        <f t="shared" ca="1" si="0"/>
        <v>1</v>
      </c>
      <c r="C15" s="52" t="s">
        <v>105</v>
      </c>
      <c r="D15" s="52" t="s">
        <v>135</v>
      </c>
      <c r="E15" s="52"/>
      <c r="F15" s="52" t="s">
        <v>89</v>
      </c>
    </row>
    <row r="16" spans="1:6" x14ac:dyDescent="0.3">
      <c r="A16" s="52">
        <v>20</v>
      </c>
      <c r="B16" s="52">
        <f t="shared" ca="1" si="0"/>
        <v>6</v>
      </c>
      <c r="C16" s="52" t="s">
        <v>110</v>
      </c>
      <c r="D16" s="52" t="s">
        <v>134</v>
      </c>
      <c r="E16" s="52"/>
      <c r="F16" s="52" t="s">
        <v>89</v>
      </c>
    </row>
    <row r="17" spans="1:6" x14ac:dyDescent="0.3">
      <c r="A17" s="52"/>
      <c r="B17" s="52" t="str">
        <f t="shared" ref="B17:B35" ca="1" si="1">_xlfn.IFNA(INDEX(StoryID,MATCH(C17,Story,0)),"")</f>
        <v/>
      </c>
      <c r="C17" s="52"/>
      <c r="D17" s="52"/>
      <c r="E17" s="52"/>
      <c r="F17" s="52"/>
    </row>
    <row r="18" spans="1:6" x14ac:dyDescent="0.3">
      <c r="A18" s="52"/>
      <c r="B18" s="52" t="str">
        <f t="shared" ca="1" si="1"/>
        <v/>
      </c>
      <c r="C18" s="52"/>
      <c r="D18" s="52"/>
      <c r="E18" s="52"/>
      <c r="F18" s="52"/>
    </row>
    <row r="19" spans="1:6" x14ac:dyDescent="0.3">
      <c r="A19" s="52"/>
      <c r="B19" s="52" t="str">
        <f t="shared" ca="1" si="1"/>
        <v/>
      </c>
      <c r="C19" s="52"/>
      <c r="D19" s="52"/>
      <c r="E19" s="52"/>
      <c r="F19" s="52"/>
    </row>
    <row r="20" spans="1:6" x14ac:dyDescent="0.3">
      <c r="A20" s="52"/>
      <c r="B20" s="52" t="str">
        <f t="shared" ca="1" si="1"/>
        <v/>
      </c>
      <c r="C20" s="52"/>
      <c r="D20" s="52"/>
      <c r="E20" s="52"/>
      <c r="F20" s="52"/>
    </row>
    <row r="21" spans="1:6" x14ac:dyDescent="0.3">
      <c r="A21" s="52"/>
      <c r="B21" s="52" t="str">
        <f t="shared" ca="1" si="1"/>
        <v/>
      </c>
      <c r="C21" s="52"/>
      <c r="D21" s="52"/>
      <c r="E21" s="52"/>
      <c r="F21" s="52"/>
    </row>
    <row r="22" spans="1:6" x14ac:dyDescent="0.3">
      <c r="A22" s="52"/>
      <c r="B22" s="52" t="str">
        <f t="shared" ca="1" si="1"/>
        <v/>
      </c>
      <c r="C22" s="52"/>
      <c r="D22" s="52"/>
      <c r="E22" s="52"/>
      <c r="F22" s="52"/>
    </row>
    <row r="23" spans="1:6" x14ac:dyDescent="0.3">
      <c r="A23" s="52"/>
      <c r="B23" s="52" t="str">
        <f t="shared" ca="1" si="1"/>
        <v/>
      </c>
      <c r="C23" s="52"/>
      <c r="D23" s="52"/>
      <c r="E23" s="52"/>
      <c r="F23" s="52"/>
    </row>
    <row r="24" spans="1:6" x14ac:dyDescent="0.3">
      <c r="A24" s="52"/>
      <c r="B24" s="52" t="str">
        <f t="shared" ca="1" si="1"/>
        <v/>
      </c>
      <c r="C24" s="52"/>
      <c r="D24" s="52"/>
      <c r="E24" s="52"/>
      <c r="F24" s="52"/>
    </row>
    <row r="25" spans="1:6" x14ac:dyDescent="0.3">
      <c r="A25" s="52"/>
      <c r="B25" s="52" t="str">
        <f t="shared" ca="1" si="1"/>
        <v/>
      </c>
      <c r="C25" s="52"/>
      <c r="D25" s="52"/>
      <c r="E25" s="52"/>
      <c r="F25" s="52"/>
    </row>
    <row r="26" spans="1:6" x14ac:dyDescent="0.3">
      <c r="A26" s="52"/>
      <c r="B26" s="52" t="str">
        <f t="shared" ca="1" si="1"/>
        <v/>
      </c>
      <c r="C26" s="52"/>
      <c r="D26" s="52"/>
      <c r="E26" s="52"/>
      <c r="F26" s="52"/>
    </row>
    <row r="27" spans="1:6" x14ac:dyDescent="0.3">
      <c r="A27" s="52"/>
      <c r="B27" s="52" t="str">
        <f t="shared" ca="1" si="1"/>
        <v/>
      </c>
      <c r="C27" s="52"/>
      <c r="D27" s="52"/>
      <c r="E27" s="52"/>
      <c r="F27" s="52"/>
    </row>
    <row r="28" spans="1:6" x14ac:dyDescent="0.3">
      <c r="A28" s="52"/>
      <c r="B28" s="52" t="str">
        <f t="shared" ca="1" si="1"/>
        <v/>
      </c>
      <c r="C28" s="52"/>
      <c r="D28" s="52"/>
      <c r="E28" s="52"/>
      <c r="F28" s="52"/>
    </row>
    <row r="29" spans="1:6" x14ac:dyDescent="0.3">
      <c r="A29" s="52"/>
      <c r="B29" s="52" t="str">
        <f t="shared" ca="1" si="1"/>
        <v/>
      </c>
      <c r="C29" s="52"/>
      <c r="D29" s="52"/>
      <c r="E29" s="52"/>
      <c r="F29" s="52"/>
    </row>
    <row r="30" spans="1:6" x14ac:dyDescent="0.3">
      <c r="A30" s="52"/>
      <c r="B30" s="52" t="str">
        <f t="shared" ca="1" si="1"/>
        <v/>
      </c>
      <c r="C30" s="52"/>
      <c r="D30" s="52"/>
      <c r="E30" s="52"/>
      <c r="F30" s="52"/>
    </row>
    <row r="31" spans="1:6" x14ac:dyDescent="0.3">
      <c r="A31" s="52"/>
      <c r="B31" s="52" t="str">
        <f t="shared" ca="1" si="1"/>
        <v/>
      </c>
      <c r="C31" s="52"/>
      <c r="D31" s="52"/>
      <c r="E31" s="52"/>
      <c r="F31" s="52"/>
    </row>
    <row r="32" spans="1:6" x14ac:dyDescent="0.3">
      <c r="A32" s="52"/>
      <c r="B32" s="52" t="str">
        <f t="shared" ca="1" si="1"/>
        <v/>
      </c>
      <c r="C32" s="52"/>
      <c r="D32" s="52"/>
      <c r="E32" s="52"/>
      <c r="F32" s="52"/>
    </row>
    <row r="33" spans="1:6" x14ac:dyDescent="0.3">
      <c r="A33" s="52"/>
      <c r="B33" s="52" t="str">
        <f t="shared" ca="1" si="1"/>
        <v/>
      </c>
      <c r="C33" s="52"/>
      <c r="D33" s="52"/>
      <c r="E33" s="52"/>
      <c r="F33" s="52"/>
    </row>
    <row r="34" spans="1:6" x14ac:dyDescent="0.3">
      <c r="A34" s="52"/>
      <c r="B34" s="52" t="str">
        <f t="shared" ca="1" si="1"/>
        <v/>
      </c>
      <c r="C34" s="52"/>
      <c r="D34" s="52"/>
      <c r="E34" s="52"/>
      <c r="F34" s="52"/>
    </row>
    <row r="35" spans="1:6" x14ac:dyDescent="0.3">
      <c r="A35" s="52"/>
      <c r="B35" s="52" t="str">
        <f t="shared" ca="1" si="1"/>
        <v/>
      </c>
      <c r="C35" s="53"/>
      <c r="D35" s="53"/>
      <c r="E35" s="53"/>
      <c r="F35" s="53"/>
    </row>
  </sheetData>
  <dataValidations count="2">
    <dataValidation type="list" allowBlank="1" showInputMessage="1" showErrorMessage="1" sqref="C2:C35">
      <formula1>Story</formula1>
    </dataValidation>
    <dataValidation type="list" showInputMessage="1" showErrorMessage="1" sqref="F2:F35">
      <formula1>"New,InProgress,Deferred,Completed"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"/>
  <sheetViews>
    <sheetView workbookViewId="0">
      <selection activeCell="C35" sqref="C35"/>
    </sheetView>
  </sheetViews>
  <sheetFormatPr defaultRowHeight="14.4" x14ac:dyDescent="0.3"/>
  <sheetData>
    <row r="1" spans="1:1" x14ac:dyDescent="0.3">
      <c r="A1" t="s">
        <v>88</v>
      </c>
    </row>
    <row r="2" spans="1:1" x14ac:dyDescent="0.3">
      <c r="A2" t="s">
        <v>89</v>
      </c>
    </row>
    <row r="3" spans="1:1" x14ac:dyDescent="0.3">
      <c r="A3" t="s">
        <v>90</v>
      </c>
    </row>
    <row r="4" spans="1:1" x14ac:dyDescent="0.3">
      <c r="A4" t="s">
        <v>91</v>
      </c>
    </row>
    <row r="5" spans="1:1" x14ac:dyDescent="0.3">
      <c r="A5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2"/>
  <sheetViews>
    <sheetView workbookViewId="0">
      <pane ySplit="1" topLeftCell="A2" activePane="bottomLeft" state="frozen"/>
      <selection pane="bottomLeft" activeCell="I33" sqref="I33"/>
    </sheetView>
  </sheetViews>
  <sheetFormatPr defaultRowHeight="14.4" x14ac:dyDescent="0.3"/>
  <cols>
    <col min="1" max="1" width="9.77734375" customWidth="1"/>
    <col min="2" max="2" width="11.109375" customWidth="1"/>
    <col min="3" max="3" width="10.5546875" bestFit="1" customWidth="1"/>
  </cols>
  <sheetData>
    <row r="1" spans="1:3" x14ac:dyDescent="0.3">
      <c r="A1" t="s">
        <v>30</v>
      </c>
      <c r="B1" t="s">
        <v>31</v>
      </c>
      <c r="C1" t="s">
        <v>32</v>
      </c>
    </row>
    <row r="2" spans="1:3" x14ac:dyDescent="0.3">
      <c r="A2" s="38" t="s">
        <v>83</v>
      </c>
      <c r="B2" s="38"/>
      <c r="C2" s="38" t="s">
        <v>84</v>
      </c>
    </row>
    <row r="3" spans="1:3" x14ac:dyDescent="0.3">
      <c r="A3" s="36">
        <v>1</v>
      </c>
      <c r="B3" s="37">
        <v>42656</v>
      </c>
      <c r="C3" s="11">
        <f>Table3[[#This Row],[Start Date]]+13</f>
        <v>42669</v>
      </c>
    </row>
    <row r="4" spans="1:3" x14ac:dyDescent="0.3">
      <c r="A4">
        <f>+A3+1</f>
        <v>2</v>
      </c>
      <c r="B4" s="11">
        <f>+C3+1</f>
        <v>42670</v>
      </c>
      <c r="C4" s="11">
        <f>Table3[[#This Row],[Start Date]]+13</f>
        <v>42683</v>
      </c>
    </row>
    <row r="5" spans="1:3" x14ac:dyDescent="0.3">
      <c r="A5">
        <f t="shared" ref="A5:A62" si="0">+A4+1</f>
        <v>3</v>
      </c>
      <c r="B5" s="11">
        <f t="shared" ref="B5:B62" si="1">+C4+1</f>
        <v>42684</v>
      </c>
      <c r="C5" s="11">
        <f>Table3[[#This Row],[Start Date]]+13</f>
        <v>42697</v>
      </c>
    </row>
    <row r="6" spans="1:3" x14ac:dyDescent="0.3">
      <c r="A6">
        <f t="shared" si="0"/>
        <v>4</v>
      </c>
      <c r="B6" s="11">
        <f t="shared" si="1"/>
        <v>42698</v>
      </c>
      <c r="C6" s="11">
        <f>Table3[[#This Row],[Start Date]]+13</f>
        <v>42711</v>
      </c>
    </row>
    <row r="7" spans="1:3" x14ac:dyDescent="0.3">
      <c r="A7">
        <f t="shared" si="0"/>
        <v>5</v>
      </c>
      <c r="B7" s="11">
        <f t="shared" si="1"/>
        <v>42712</v>
      </c>
      <c r="C7" s="11">
        <f>Table3[[#This Row],[Start Date]]+13</f>
        <v>42725</v>
      </c>
    </row>
    <row r="8" spans="1:3" x14ac:dyDescent="0.3">
      <c r="A8">
        <f t="shared" si="0"/>
        <v>6</v>
      </c>
      <c r="B8" s="11">
        <f t="shared" si="1"/>
        <v>42726</v>
      </c>
      <c r="C8" s="11">
        <f>Table3[[#This Row],[Start Date]]+13</f>
        <v>42739</v>
      </c>
    </row>
    <row r="9" spans="1:3" x14ac:dyDescent="0.3">
      <c r="A9">
        <f t="shared" si="0"/>
        <v>7</v>
      </c>
      <c r="B9" s="11">
        <f t="shared" si="1"/>
        <v>42740</v>
      </c>
      <c r="C9" s="11">
        <f>Table3[[#This Row],[Start Date]]+13</f>
        <v>42753</v>
      </c>
    </row>
    <row r="10" spans="1:3" x14ac:dyDescent="0.3">
      <c r="A10">
        <f t="shared" si="0"/>
        <v>8</v>
      </c>
      <c r="B10" s="11">
        <f t="shared" si="1"/>
        <v>42754</v>
      </c>
      <c r="C10" s="11">
        <f>Table3[[#This Row],[Start Date]]+13</f>
        <v>42767</v>
      </c>
    </row>
    <row r="11" spans="1:3" x14ac:dyDescent="0.3">
      <c r="A11">
        <f t="shared" si="0"/>
        <v>9</v>
      </c>
      <c r="B11" s="11">
        <f t="shared" si="1"/>
        <v>42768</v>
      </c>
      <c r="C11" s="11">
        <f>Table3[[#This Row],[Start Date]]+13</f>
        <v>42781</v>
      </c>
    </row>
    <row r="12" spans="1:3" x14ac:dyDescent="0.3">
      <c r="A12">
        <f t="shared" si="0"/>
        <v>10</v>
      </c>
      <c r="B12" s="11">
        <f t="shared" si="1"/>
        <v>42782</v>
      </c>
      <c r="C12" s="11">
        <f>Table3[[#This Row],[Start Date]]+13</f>
        <v>42795</v>
      </c>
    </row>
    <row r="13" spans="1:3" x14ac:dyDescent="0.3">
      <c r="A13">
        <f t="shared" si="0"/>
        <v>11</v>
      </c>
      <c r="B13" s="11">
        <f t="shared" si="1"/>
        <v>42796</v>
      </c>
      <c r="C13" s="11">
        <f>Table3[[#This Row],[Start Date]]+13</f>
        <v>42809</v>
      </c>
    </row>
    <row r="14" spans="1:3" x14ac:dyDescent="0.3">
      <c r="A14">
        <f t="shared" si="0"/>
        <v>12</v>
      </c>
      <c r="B14" s="11">
        <f t="shared" si="1"/>
        <v>42810</v>
      </c>
      <c r="C14" s="11">
        <f>Table3[[#This Row],[Start Date]]+13</f>
        <v>42823</v>
      </c>
    </row>
    <row r="15" spans="1:3" x14ac:dyDescent="0.3">
      <c r="A15">
        <f t="shared" si="0"/>
        <v>13</v>
      </c>
      <c r="B15" s="11">
        <f t="shared" si="1"/>
        <v>42824</v>
      </c>
      <c r="C15" s="11">
        <f>Table3[[#This Row],[Start Date]]+13</f>
        <v>42837</v>
      </c>
    </row>
    <row r="16" spans="1:3" x14ac:dyDescent="0.3">
      <c r="A16">
        <f t="shared" si="0"/>
        <v>14</v>
      </c>
      <c r="B16" s="11">
        <f t="shared" si="1"/>
        <v>42838</v>
      </c>
      <c r="C16" s="11">
        <f>Table3[[#This Row],[Start Date]]+13</f>
        <v>42851</v>
      </c>
    </row>
    <row r="17" spans="1:3" x14ac:dyDescent="0.3">
      <c r="A17">
        <f t="shared" si="0"/>
        <v>15</v>
      </c>
      <c r="B17" s="11">
        <f t="shared" si="1"/>
        <v>42852</v>
      </c>
      <c r="C17" s="11">
        <f>Table3[[#This Row],[Start Date]]+13</f>
        <v>42865</v>
      </c>
    </row>
    <row r="18" spans="1:3" x14ac:dyDescent="0.3">
      <c r="A18">
        <f t="shared" si="0"/>
        <v>16</v>
      </c>
      <c r="B18" s="11">
        <f t="shared" si="1"/>
        <v>42866</v>
      </c>
      <c r="C18" s="11">
        <f>Table3[[#This Row],[Start Date]]+13</f>
        <v>42879</v>
      </c>
    </row>
    <row r="19" spans="1:3" x14ac:dyDescent="0.3">
      <c r="A19">
        <f t="shared" si="0"/>
        <v>17</v>
      </c>
      <c r="B19" s="11">
        <f t="shared" si="1"/>
        <v>42880</v>
      </c>
      <c r="C19" s="11">
        <f>Table3[[#This Row],[Start Date]]+13</f>
        <v>42893</v>
      </c>
    </row>
    <row r="20" spans="1:3" x14ac:dyDescent="0.3">
      <c r="A20">
        <f t="shared" si="0"/>
        <v>18</v>
      </c>
      <c r="B20" s="11">
        <f t="shared" si="1"/>
        <v>42894</v>
      </c>
      <c r="C20" s="11">
        <f>Table3[[#This Row],[Start Date]]+13</f>
        <v>42907</v>
      </c>
    </row>
    <row r="21" spans="1:3" x14ac:dyDescent="0.3">
      <c r="A21">
        <f t="shared" si="0"/>
        <v>19</v>
      </c>
      <c r="B21" s="11">
        <f t="shared" si="1"/>
        <v>42908</v>
      </c>
      <c r="C21" s="11">
        <f>Table3[[#This Row],[Start Date]]+13</f>
        <v>42921</v>
      </c>
    </row>
    <row r="22" spans="1:3" x14ac:dyDescent="0.3">
      <c r="A22">
        <f t="shared" si="0"/>
        <v>20</v>
      </c>
      <c r="B22" s="11">
        <f t="shared" si="1"/>
        <v>42922</v>
      </c>
      <c r="C22" s="11">
        <f>Table3[[#This Row],[Start Date]]+13</f>
        <v>42935</v>
      </c>
    </row>
    <row r="23" spans="1:3" x14ac:dyDescent="0.3">
      <c r="A23">
        <f t="shared" si="0"/>
        <v>21</v>
      </c>
      <c r="B23" s="11">
        <f t="shared" si="1"/>
        <v>42936</v>
      </c>
      <c r="C23" s="11">
        <f>Table3[[#This Row],[Start Date]]+13</f>
        <v>42949</v>
      </c>
    </row>
    <row r="24" spans="1:3" x14ac:dyDescent="0.3">
      <c r="A24">
        <f t="shared" si="0"/>
        <v>22</v>
      </c>
      <c r="B24" s="11">
        <f t="shared" si="1"/>
        <v>42950</v>
      </c>
      <c r="C24" s="11">
        <f>Table3[[#This Row],[Start Date]]+13</f>
        <v>42963</v>
      </c>
    </row>
    <row r="25" spans="1:3" x14ac:dyDescent="0.3">
      <c r="A25">
        <f t="shared" si="0"/>
        <v>23</v>
      </c>
      <c r="B25" s="11">
        <f t="shared" si="1"/>
        <v>42964</v>
      </c>
      <c r="C25" s="11">
        <f>Table3[[#This Row],[Start Date]]+13</f>
        <v>42977</v>
      </c>
    </row>
    <row r="26" spans="1:3" x14ac:dyDescent="0.3">
      <c r="A26">
        <f t="shared" si="0"/>
        <v>24</v>
      </c>
      <c r="B26" s="11">
        <f t="shared" si="1"/>
        <v>42978</v>
      </c>
      <c r="C26" s="11">
        <f>Table3[[#This Row],[Start Date]]+13</f>
        <v>42991</v>
      </c>
    </row>
    <row r="27" spans="1:3" x14ac:dyDescent="0.3">
      <c r="A27">
        <f t="shared" si="0"/>
        <v>25</v>
      </c>
      <c r="B27" s="11">
        <f t="shared" si="1"/>
        <v>42992</v>
      </c>
      <c r="C27" s="11">
        <f>Table3[[#This Row],[Start Date]]+13</f>
        <v>43005</v>
      </c>
    </row>
    <row r="28" spans="1:3" x14ac:dyDescent="0.3">
      <c r="A28">
        <f t="shared" si="0"/>
        <v>26</v>
      </c>
      <c r="B28" s="11">
        <f t="shared" si="1"/>
        <v>43006</v>
      </c>
      <c r="C28" s="11">
        <f>Table3[[#This Row],[Start Date]]+13</f>
        <v>43019</v>
      </c>
    </row>
    <row r="29" spans="1:3" x14ac:dyDescent="0.3">
      <c r="A29">
        <f t="shared" si="0"/>
        <v>27</v>
      </c>
      <c r="B29" s="11">
        <f t="shared" si="1"/>
        <v>43020</v>
      </c>
      <c r="C29" s="11">
        <f>Table3[[#This Row],[Start Date]]+13</f>
        <v>43033</v>
      </c>
    </row>
    <row r="30" spans="1:3" x14ac:dyDescent="0.3">
      <c r="A30">
        <f t="shared" si="0"/>
        <v>28</v>
      </c>
      <c r="B30" s="11">
        <f t="shared" si="1"/>
        <v>43034</v>
      </c>
      <c r="C30" s="11">
        <f>Table3[[#This Row],[Start Date]]+13</f>
        <v>43047</v>
      </c>
    </row>
    <row r="31" spans="1:3" x14ac:dyDescent="0.3">
      <c r="A31">
        <f t="shared" si="0"/>
        <v>29</v>
      </c>
      <c r="B31" s="11">
        <f t="shared" si="1"/>
        <v>43048</v>
      </c>
      <c r="C31" s="11">
        <f>Table3[[#This Row],[Start Date]]+13</f>
        <v>43061</v>
      </c>
    </row>
    <row r="32" spans="1:3" x14ac:dyDescent="0.3">
      <c r="A32">
        <f t="shared" si="0"/>
        <v>30</v>
      </c>
      <c r="B32" s="11">
        <f t="shared" si="1"/>
        <v>43062</v>
      </c>
      <c r="C32" s="11">
        <f>Table3[[#This Row],[Start Date]]+13</f>
        <v>43075</v>
      </c>
    </row>
    <row r="33" spans="1:3" x14ac:dyDescent="0.3">
      <c r="A33">
        <f t="shared" si="0"/>
        <v>31</v>
      </c>
      <c r="B33" s="11">
        <f t="shared" si="1"/>
        <v>43076</v>
      </c>
      <c r="C33" s="11">
        <f>Table3[[#This Row],[Start Date]]+13</f>
        <v>43089</v>
      </c>
    </row>
    <row r="34" spans="1:3" x14ac:dyDescent="0.3">
      <c r="A34">
        <f t="shared" si="0"/>
        <v>32</v>
      </c>
      <c r="B34" s="11">
        <f t="shared" si="1"/>
        <v>43090</v>
      </c>
      <c r="C34" s="11">
        <f>Table3[[#This Row],[Start Date]]+13</f>
        <v>43103</v>
      </c>
    </row>
    <row r="35" spans="1:3" x14ac:dyDescent="0.3">
      <c r="A35">
        <f t="shared" si="0"/>
        <v>33</v>
      </c>
      <c r="B35" s="11">
        <f t="shared" si="1"/>
        <v>43104</v>
      </c>
      <c r="C35" s="11">
        <f>Table3[[#This Row],[Start Date]]+13</f>
        <v>43117</v>
      </c>
    </row>
    <row r="36" spans="1:3" x14ac:dyDescent="0.3">
      <c r="A36">
        <f t="shared" si="0"/>
        <v>34</v>
      </c>
      <c r="B36" s="11">
        <f t="shared" si="1"/>
        <v>43118</v>
      </c>
      <c r="C36" s="11">
        <f>Table3[[#This Row],[Start Date]]+13</f>
        <v>43131</v>
      </c>
    </row>
    <row r="37" spans="1:3" x14ac:dyDescent="0.3">
      <c r="A37">
        <f t="shared" si="0"/>
        <v>35</v>
      </c>
      <c r="B37" s="11">
        <f t="shared" si="1"/>
        <v>43132</v>
      </c>
      <c r="C37" s="11">
        <f>Table3[[#This Row],[Start Date]]+13</f>
        <v>43145</v>
      </c>
    </row>
    <row r="38" spans="1:3" x14ac:dyDescent="0.3">
      <c r="A38">
        <f t="shared" si="0"/>
        <v>36</v>
      </c>
      <c r="B38" s="11">
        <f t="shared" si="1"/>
        <v>43146</v>
      </c>
      <c r="C38" s="11">
        <f>Table3[[#This Row],[Start Date]]+13</f>
        <v>43159</v>
      </c>
    </row>
    <row r="39" spans="1:3" x14ac:dyDescent="0.3">
      <c r="A39">
        <f t="shared" si="0"/>
        <v>37</v>
      </c>
      <c r="B39" s="11">
        <f t="shared" si="1"/>
        <v>43160</v>
      </c>
      <c r="C39" s="11">
        <f>Table3[[#This Row],[Start Date]]+13</f>
        <v>43173</v>
      </c>
    </row>
    <row r="40" spans="1:3" x14ac:dyDescent="0.3">
      <c r="A40">
        <f t="shared" si="0"/>
        <v>38</v>
      </c>
      <c r="B40" s="11">
        <f t="shared" si="1"/>
        <v>43174</v>
      </c>
      <c r="C40" s="11">
        <f>Table3[[#This Row],[Start Date]]+13</f>
        <v>43187</v>
      </c>
    </row>
    <row r="41" spans="1:3" x14ac:dyDescent="0.3">
      <c r="A41">
        <f t="shared" si="0"/>
        <v>39</v>
      </c>
      <c r="B41" s="11">
        <f t="shared" si="1"/>
        <v>43188</v>
      </c>
      <c r="C41" s="11">
        <f>Table3[[#This Row],[Start Date]]+13</f>
        <v>43201</v>
      </c>
    </row>
    <row r="42" spans="1:3" x14ac:dyDescent="0.3">
      <c r="A42">
        <f t="shared" si="0"/>
        <v>40</v>
      </c>
      <c r="B42" s="11">
        <f t="shared" si="1"/>
        <v>43202</v>
      </c>
      <c r="C42" s="11">
        <f>Table3[[#This Row],[Start Date]]+13</f>
        <v>43215</v>
      </c>
    </row>
    <row r="43" spans="1:3" x14ac:dyDescent="0.3">
      <c r="A43">
        <f t="shared" si="0"/>
        <v>41</v>
      </c>
      <c r="B43" s="11">
        <f t="shared" si="1"/>
        <v>43216</v>
      </c>
      <c r="C43" s="11">
        <f>Table3[[#This Row],[Start Date]]+13</f>
        <v>43229</v>
      </c>
    </row>
    <row r="44" spans="1:3" x14ac:dyDescent="0.3">
      <c r="A44">
        <f t="shared" si="0"/>
        <v>42</v>
      </c>
      <c r="B44" s="11">
        <f t="shared" si="1"/>
        <v>43230</v>
      </c>
      <c r="C44" s="11">
        <f>Table3[[#This Row],[Start Date]]+13</f>
        <v>43243</v>
      </c>
    </row>
    <row r="45" spans="1:3" x14ac:dyDescent="0.3">
      <c r="A45">
        <f t="shared" si="0"/>
        <v>43</v>
      </c>
      <c r="B45" s="11">
        <f t="shared" si="1"/>
        <v>43244</v>
      </c>
      <c r="C45" s="11">
        <f>Table3[[#This Row],[Start Date]]+13</f>
        <v>43257</v>
      </c>
    </row>
    <row r="46" spans="1:3" x14ac:dyDescent="0.3">
      <c r="A46">
        <f t="shared" si="0"/>
        <v>44</v>
      </c>
      <c r="B46" s="11">
        <f t="shared" si="1"/>
        <v>43258</v>
      </c>
      <c r="C46" s="11">
        <f>Table3[[#This Row],[Start Date]]+13</f>
        <v>43271</v>
      </c>
    </row>
    <row r="47" spans="1:3" x14ac:dyDescent="0.3">
      <c r="A47">
        <f t="shared" si="0"/>
        <v>45</v>
      </c>
      <c r="B47" s="11">
        <f t="shared" si="1"/>
        <v>43272</v>
      </c>
      <c r="C47" s="11">
        <f>Table3[[#This Row],[Start Date]]+13</f>
        <v>43285</v>
      </c>
    </row>
    <row r="48" spans="1:3" x14ac:dyDescent="0.3">
      <c r="A48">
        <f t="shared" si="0"/>
        <v>46</v>
      </c>
      <c r="B48" s="11">
        <f t="shared" si="1"/>
        <v>43286</v>
      </c>
      <c r="C48" s="11">
        <f>Table3[[#This Row],[Start Date]]+13</f>
        <v>43299</v>
      </c>
    </row>
    <row r="49" spans="1:3" x14ac:dyDescent="0.3">
      <c r="A49">
        <f t="shared" si="0"/>
        <v>47</v>
      </c>
      <c r="B49" s="11">
        <f t="shared" si="1"/>
        <v>43300</v>
      </c>
      <c r="C49" s="11">
        <f>Table3[[#This Row],[Start Date]]+13</f>
        <v>43313</v>
      </c>
    </row>
    <row r="50" spans="1:3" x14ac:dyDescent="0.3">
      <c r="A50">
        <f t="shared" si="0"/>
        <v>48</v>
      </c>
      <c r="B50" s="11">
        <f t="shared" si="1"/>
        <v>43314</v>
      </c>
      <c r="C50" s="11">
        <f>Table3[[#This Row],[Start Date]]+13</f>
        <v>43327</v>
      </c>
    </row>
    <row r="51" spans="1:3" x14ac:dyDescent="0.3">
      <c r="A51">
        <f t="shared" si="0"/>
        <v>49</v>
      </c>
      <c r="B51" s="11">
        <f t="shared" si="1"/>
        <v>43328</v>
      </c>
      <c r="C51" s="11">
        <f>Table3[[#This Row],[Start Date]]+13</f>
        <v>43341</v>
      </c>
    </row>
    <row r="52" spans="1:3" x14ac:dyDescent="0.3">
      <c r="A52">
        <f t="shared" si="0"/>
        <v>50</v>
      </c>
      <c r="B52" s="11">
        <f t="shared" si="1"/>
        <v>43342</v>
      </c>
      <c r="C52" s="11">
        <f>Table3[[#This Row],[Start Date]]+13</f>
        <v>43355</v>
      </c>
    </row>
    <row r="53" spans="1:3" x14ac:dyDescent="0.3">
      <c r="A53">
        <f t="shared" si="0"/>
        <v>51</v>
      </c>
      <c r="B53" s="11">
        <f t="shared" si="1"/>
        <v>43356</v>
      </c>
      <c r="C53" s="11">
        <f>Table3[[#This Row],[Start Date]]+13</f>
        <v>43369</v>
      </c>
    </row>
    <row r="54" spans="1:3" x14ac:dyDescent="0.3">
      <c r="A54">
        <f t="shared" si="0"/>
        <v>52</v>
      </c>
      <c r="B54" s="11">
        <f t="shared" si="1"/>
        <v>43370</v>
      </c>
      <c r="C54" s="11">
        <f>Table3[[#This Row],[Start Date]]+13</f>
        <v>43383</v>
      </c>
    </row>
    <row r="55" spans="1:3" x14ac:dyDescent="0.3">
      <c r="A55">
        <f t="shared" si="0"/>
        <v>53</v>
      </c>
      <c r="B55" s="11">
        <f t="shared" si="1"/>
        <v>43384</v>
      </c>
      <c r="C55" s="11">
        <f>Table3[[#This Row],[Start Date]]+13</f>
        <v>43397</v>
      </c>
    </row>
    <row r="56" spans="1:3" x14ac:dyDescent="0.3">
      <c r="A56">
        <f t="shared" si="0"/>
        <v>54</v>
      </c>
      <c r="B56" s="11">
        <f t="shared" si="1"/>
        <v>43398</v>
      </c>
      <c r="C56" s="11">
        <f>Table3[[#This Row],[Start Date]]+13</f>
        <v>43411</v>
      </c>
    </row>
    <row r="57" spans="1:3" x14ac:dyDescent="0.3">
      <c r="A57">
        <f t="shared" si="0"/>
        <v>55</v>
      </c>
      <c r="B57" s="11">
        <f t="shared" si="1"/>
        <v>43412</v>
      </c>
      <c r="C57" s="11">
        <f>Table3[[#This Row],[Start Date]]+13</f>
        <v>43425</v>
      </c>
    </row>
    <row r="58" spans="1:3" x14ac:dyDescent="0.3">
      <c r="A58">
        <f t="shared" si="0"/>
        <v>56</v>
      </c>
      <c r="B58" s="11">
        <f t="shared" si="1"/>
        <v>43426</v>
      </c>
      <c r="C58" s="11">
        <f>Table3[[#This Row],[Start Date]]+13</f>
        <v>43439</v>
      </c>
    </row>
    <row r="59" spans="1:3" x14ac:dyDescent="0.3">
      <c r="A59">
        <f t="shared" si="0"/>
        <v>57</v>
      </c>
      <c r="B59" s="11">
        <f t="shared" si="1"/>
        <v>43440</v>
      </c>
      <c r="C59" s="11">
        <f>Table3[[#This Row],[Start Date]]+13</f>
        <v>43453</v>
      </c>
    </row>
    <row r="60" spans="1:3" x14ac:dyDescent="0.3">
      <c r="A60">
        <f t="shared" si="0"/>
        <v>58</v>
      </c>
      <c r="B60" s="11">
        <f t="shared" si="1"/>
        <v>43454</v>
      </c>
      <c r="C60" s="11">
        <f>Table3[[#This Row],[Start Date]]+13</f>
        <v>43467</v>
      </c>
    </row>
    <row r="61" spans="1:3" x14ac:dyDescent="0.3">
      <c r="A61">
        <f t="shared" si="0"/>
        <v>59</v>
      </c>
      <c r="B61" s="11">
        <f t="shared" si="1"/>
        <v>43468</v>
      </c>
      <c r="C61" s="11">
        <f>Table3[[#This Row],[Start Date]]+13</f>
        <v>43481</v>
      </c>
    </row>
    <row r="62" spans="1:3" x14ac:dyDescent="0.3">
      <c r="A62">
        <f t="shared" si="0"/>
        <v>60</v>
      </c>
      <c r="B62" s="11">
        <f t="shared" si="1"/>
        <v>43482</v>
      </c>
      <c r="C62" s="11">
        <f>Table3[[#This Row],[Start Date]]+13</f>
        <v>43495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O1:R12"/>
  <sheetViews>
    <sheetView workbookViewId="0">
      <selection activeCell="Q20" sqref="Q20"/>
    </sheetView>
  </sheetViews>
  <sheetFormatPr defaultRowHeight="14.4" x14ac:dyDescent="0.3"/>
  <sheetData>
    <row r="1" spans="15:18" x14ac:dyDescent="0.3">
      <c r="O1" s="1" t="s">
        <v>27</v>
      </c>
      <c r="P1" s="2" t="s">
        <v>26</v>
      </c>
      <c r="Q1" s="1" t="s">
        <v>28</v>
      </c>
      <c r="R1" s="2" t="s">
        <v>29</v>
      </c>
    </row>
    <row r="2" spans="15:18" x14ac:dyDescent="0.3">
      <c r="O2" s="1">
        <v>0</v>
      </c>
      <c r="P2" s="2">
        <f>Sprint!G32</f>
        <v>177</v>
      </c>
      <c r="Q2" s="2">
        <v>0</v>
      </c>
      <c r="R2" s="2">
        <f>P2</f>
        <v>177</v>
      </c>
    </row>
    <row r="3" spans="15:18" x14ac:dyDescent="0.3">
      <c r="O3" s="1">
        <v>1</v>
      </c>
      <c r="P3" s="2">
        <f>SUMIFS(Sprint!AD$32:AW$32,Sprint!$AD$3:$AW$3,"=To Do",Sprint!$AD$2:$AW$2,O3)</f>
        <v>80</v>
      </c>
      <c r="Q3" s="1">
        <f>SUMIFS(Sprint!AD$32:AW$32,Sprint!$AD$3:$AW$3,"=In Prog",Sprint!$AD$2:$AW$2,O3)</f>
        <v>108</v>
      </c>
      <c r="R3" s="2">
        <f t="shared" ref="R3:R12" si="0">ROUND($R$2*(($O$12-O3)/$O$12),0)</f>
        <v>159</v>
      </c>
    </row>
    <row r="4" spans="15:18" x14ac:dyDescent="0.3">
      <c r="O4" s="1">
        <v>2</v>
      </c>
      <c r="P4" s="2">
        <f>SUMIFS(Sprint!AD$32:AW$32,Sprint!$AD$3:$AW$3,"=To Do",Sprint!$AD$2:$AW$2,O4)</f>
        <v>80</v>
      </c>
      <c r="Q4" s="1">
        <f>SUMIFS(Sprint!AD$32:AW$32,Sprint!$AD$3:$AW$3,"=In Prog",Sprint!$AD$2:$AW$2,O4)</f>
        <v>95</v>
      </c>
      <c r="R4" s="2">
        <f t="shared" si="0"/>
        <v>142</v>
      </c>
    </row>
    <row r="5" spans="15:18" x14ac:dyDescent="0.3">
      <c r="O5" s="1">
        <v>3</v>
      </c>
      <c r="P5" s="2">
        <f>SUMIFS(Sprint!AD$32:AW$32,Sprint!$AD$3:$AW$3,"=To Do",Sprint!$AD$2:$AW$2,O5)</f>
        <v>68</v>
      </c>
      <c r="Q5" s="1">
        <f>SUMIFS(Sprint!AD$32:AW$32,Sprint!$AD$3:$AW$3,"=In Prog",Sprint!$AD$2:$AW$2,O5)</f>
        <v>87</v>
      </c>
      <c r="R5" s="2">
        <f t="shared" si="0"/>
        <v>124</v>
      </c>
    </row>
    <row r="6" spans="15:18" x14ac:dyDescent="0.3">
      <c r="O6" s="1">
        <v>4</v>
      </c>
      <c r="P6" s="2">
        <f>SUMIFS(Sprint!AD$32:AW$32,Sprint!$AD$3:$AW$3,"=To Do",Sprint!$AD$2:$AW$2,O6)</f>
        <v>48</v>
      </c>
      <c r="Q6" s="1">
        <f>SUMIFS(Sprint!AD$32:AW$32,Sprint!$AD$3:$AW$3,"=In Prog",Sprint!$AD$2:$AW$2,O6)</f>
        <v>75</v>
      </c>
      <c r="R6" s="2">
        <f t="shared" si="0"/>
        <v>106</v>
      </c>
    </row>
    <row r="7" spans="15:18" x14ac:dyDescent="0.3">
      <c r="O7" s="1">
        <v>5</v>
      </c>
      <c r="P7" s="2">
        <f>SUMIFS(Sprint!AD$32:AW$32,Sprint!$AD$3:$AW$3,"=To Do",Sprint!$AD$2:$AW$2,O7)</f>
        <v>48</v>
      </c>
      <c r="Q7" s="1">
        <f>SUMIFS(Sprint!AD$32:AW$32,Sprint!$AD$3:$AW$3,"=In Prog",Sprint!$AD$2:$AW$2,O7)</f>
        <v>56</v>
      </c>
      <c r="R7" s="2">
        <f t="shared" si="0"/>
        <v>89</v>
      </c>
    </row>
    <row r="8" spans="15:18" x14ac:dyDescent="0.3">
      <c r="O8" s="1">
        <v>6</v>
      </c>
      <c r="P8" s="2">
        <f>SUMIFS(Sprint!AD$32:AW$32,Sprint!$AD$3:$AW$3,"=To Do",Sprint!$AD$2:$AW$2,O8)</f>
        <v>8</v>
      </c>
      <c r="Q8" s="1">
        <f>SUMIFS(Sprint!AD$32:AW$32,Sprint!$AD$3:$AW$3,"=In Prog",Sprint!$AD$2:$AW$2,O8)</f>
        <v>72</v>
      </c>
      <c r="R8" s="2">
        <f t="shared" si="0"/>
        <v>71</v>
      </c>
    </row>
    <row r="9" spans="15:18" x14ac:dyDescent="0.3">
      <c r="O9" s="1">
        <v>7</v>
      </c>
      <c r="P9" s="2">
        <f>SUMIFS(Sprint!AD$32:AW$32,Sprint!$AD$3:$AW$3,"=To Do",Sprint!$AD$2:$AW$2,O9)</f>
        <v>8</v>
      </c>
      <c r="Q9" s="1">
        <f>SUMIFS(Sprint!AD$32:AW$32,Sprint!$AD$3:$AW$3,"=In Prog",Sprint!$AD$2:$AW$2,O9)</f>
        <v>46</v>
      </c>
      <c r="R9" s="2">
        <f t="shared" si="0"/>
        <v>53</v>
      </c>
    </row>
    <row r="10" spans="15:18" x14ac:dyDescent="0.3">
      <c r="O10" s="1">
        <v>8</v>
      </c>
      <c r="P10" s="2">
        <f>SUMIFS(Sprint!AD$32:AW$32,Sprint!$AD$3:$AW$3,"=To Do",Sprint!$AD$2:$AW$2,O10)</f>
        <v>8</v>
      </c>
      <c r="Q10" s="1">
        <f>SUMIFS(Sprint!AD$32:AW$32,Sprint!$AD$3:$AW$3,"=In Prog",Sprint!$AD$2:$AW$2,O10)</f>
        <v>32</v>
      </c>
      <c r="R10" s="2">
        <f t="shared" si="0"/>
        <v>35</v>
      </c>
    </row>
    <row r="11" spans="15:18" x14ac:dyDescent="0.3">
      <c r="O11" s="1">
        <v>9</v>
      </c>
      <c r="P11" s="2">
        <f>SUMIFS(Sprint!AD$32:AW$32,Sprint!$AD$3:$AW$3,"=To Do",Sprint!$AD$2:$AW$2,O11)</f>
        <v>8</v>
      </c>
      <c r="Q11" s="1">
        <f>SUMIFS(Sprint!AD$32:AW$32,Sprint!$AD$3:$AW$3,"=In Prog",Sprint!$AD$2:$AW$2,O11)</f>
        <v>32</v>
      </c>
      <c r="R11" s="2">
        <f t="shared" si="0"/>
        <v>18</v>
      </c>
    </row>
    <row r="12" spans="15:18" x14ac:dyDescent="0.3">
      <c r="O12" s="1">
        <v>10</v>
      </c>
      <c r="P12" s="2">
        <f>SUMIFS(Sprint!AD$32:AW$32,Sprint!$AD$3:$AW$3,"=To Do",Sprint!$AD$2:$AW$2,O12)</f>
        <v>8</v>
      </c>
      <c r="Q12" s="1">
        <f>SUMIFS(Sprint!AD$32:AW$32,Sprint!$AD$3:$AW$3,"=In Prog",Sprint!$AD$2:$AW$2,O12)</f>
        <v>14</v>
      </c>
      <c r="R12" s="2">
        <f t="shared" si="0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U31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9.5546875" customWidth="1"/>
    <col min="2" max="2" width="22.77734375" customWidth="1"/>
    <col min="3" max="3" width="11.109375" bestFit="1" customWidth="1"/>
    <col min="4" max="4" width="8.21875" bestFit="1" customWidth="1"/>
    <col min="5" max="5" width="9.44140625" customWidth="1"/>
    <col min="6" max="6" width="11.77734375" bestFit="1" customWidth="1"/>
    <col min="13" max="13" width="4" customWidth="1"/>
    <col min="14" max="73" width="3.77734375" customWidth="1"/>
  </cols>
  <sheetData>
    <row r="1" spans="1:73" ht="24" customHeight="1" x14ac:dyDescent="0.3">
      <c r="N1" s="18" t="s">
        <v>72</v>
      </c>
      <c r="O1" s="18"/>
      <c r="P1" s="18"/>
      <c r="Q1" s="18"/>
      <c r="R1" s="18"/>
      <c r="S1" s="23">
        <v>1</v>
      </c>
      <c r="T1" s="18"/>
      <c r="U1" s="19"/>
      <c r="V1" s="65"/>
      <c r="W1" s="20" t="s">
        <v>73</v>
      </c>
      <c r="X1" s="19"/>
      <c r="Y1" s="66"/>
      <c r="Z1" s="20" t="s">
        <v>74</v>
      </c>
      <c r="AA1" s="19"/>
      <c r="AB1" s="19"/>
      <c r="AC1" s="67"/>
      <c r="AD1" s="21" t="s">
        <v>75</v>
      </c>
      <c r="AE1" s="19"/>
      <c r="AF1" s="19"/>
      <c r="AG1" s="19"/>
      <c r="AH1" s="68"/>
      <c r="AI1" s="21" t="s">
        <v>76</v>
      </c>
      <c r="AJ1" s="22"/>
      <c r="AK1" s="22"/>
      <c r="AL1" s="19"/>
      <c r="AM1" s="19"/>
      <c r="AN1" s="19"/>
      <c r="AO1" s="19"/>
      <c r="AP1" s="69"/>
      <c r="AQ1" s="21" t="s">
        <v>77</v>
      </c>
    </row>
    <row r="2" spans="1:73" ht="28.2" customHeight="1" thickBot="1" x14ac:dyDescent="0.35">
      <c r="A2" s="25" t="s">
        <v>21</v>
      </c>
      <c r="B2" s="25" t="s">
        <v>0</v>
      </c>
      <c r="C2" s="25" t="s">
        <v>137</v>
      </c>
      <c r="D2" s="31" t="s">
        <v>22</v>
      </c>
      <c r="E2" s="31" t="s">
        <v>16</v>
      </c>
      <c r="F2" s="31" t="s">
        <v>23</v>
      </c>
      <c r="G2" s="32" t="s">
        <v>4</v>
      </c>
      <c r="H2" s="27" t="s">
        <v>81</v>
      </c>
      <c r="I2" s="27" t="s">
        <v>78</v>
      </c>
      <c r="J2" s="27" t="s">
        <v>71</v>
      </c>
      <c r="K2" s="27" t="s">
        <v>79</v>
      </c>
      <c r="L2" s="27" t="s">
        <v>80</v>
      </c>
      <c r="M2" s="27"/>
      <c r="N2" s="28">
        <v>1</v>
      </c>
      <c r="O2" s="26">
        <v>2</v>
      </c>
      <c r="P2" s="26">
        <v>3</v>
      </c>
      <c r="Q2" s="26">
        <v>4</v>
      </c>
      <c r="R2" s="26">
        <v>5</v>
      </c>
      <c r="S2" s="26">
        <v>6</v>
      </c>
      <c r="T2" s="26">
        <v>7</v>
      </c>
      <c r="U2" s="26">
        <v>8</v>
      </c>
      <c r="V2" s="26">
        <v>9</v>
      </c>
      <c r="W2" s="26">
        <v>10</v>
      </c>
      <c r="X2" s="26">
        <v>11</v>
      </c>
      <c r="Y2" s="26">
        <v>12</v>
      </c>
      <c r="Z2" s="26">
        <v>13</v>
      </c>
      <c r="AA2" s="26">
        <v>14</v>
      </c>
      <c r="AB2" s="26">
        <v>15</v>
      </c>
      <c r="AC2" s="26">
        <v>16</v>
      </c>
      <c r="AD2" s="26">
        <v>17</v>
      </c>
      <c r="AE2" s="26">
        <v>18</v>
      </c>
      <c r="AF2" s="26">
        <v>19</v>
      </c>
      <c r="AG2" s="26">
        <v>20</v>
      </c>
      <c r="AH2" s="26">
        <v>21</v>
      </c>
      <c r="AI2" s="26">
        <v>22</v>
      </c>
      <c r="AJ2" s="26">
        <v>23</v>
      </c>
      <c r="AK2" s="26">
        <v>24</v>
      </c>
      <c r="AL2" s="26">
        <v>25</v>
      </c>
      <c r="AM2" s="26">
        <v>26</v>
      </c>
      <c r="AN2" s="26">
        <v>27</v>
      </c>
      <c r="AO2" s="26">
        <v>28</v>
      </c>
      <c r="AP2" s="26">
        <v>29</v>
      </c>
      <c r="AQ2" s="26">
        <v>30</v>
      </c>
      <c r="AR2" s="26">
        <v>31</v>
      </c>
      <c r="AS2" s="26">
        <v>32</v>
      </c>
      <c r="AT2" s="26">
        <v>33</v>
      </c>
      <c r="AU2" s="26">
        <v>34</v>
      </c>
      <c r="AV2" s="26">
        <v>35</v>
      </c>
      <c r="AW2" s="26">
        <v>36</v>
      </c>
      <c r="AX2" s="26">
        <v>37</v>
      </c>
      <c r="AY2" s="26">
        <v>38</v>
      </c>
      <c r="AZ2" s="26">
        <v>39</v>
      </c>
      <c r="BA2" s="26">
        <v>40</v>
      </c>
      <c r="BB2" s="26">
        <v>41</v>
      </c>
      <c r="BC2" s="26">
        <v>42</v>
      </c>
      <c r="BD2" s="26">
        <v>43</v>
      </c>
      <c r="BE2" s="26">
        <v>44</v>
      </c>
      <c r="BF2" s="26">
        <v>45</v>
      </c>
      <c r="BG2" s="26">
        <v>46</v>
      </c>
      <c r="BH2" s="26">
        <v>47</v>
      </c>
      <c r="BI2" s="26">
        <v>48</v>
      </c>
      <c r="BJ2" s="26">
        <v>49</v>
      </c>
      <c r="BK2" s="26">
        <v>50</v>
      </c>
      <c r="BL2" s="26">
        <v>51</v>
      </c>
      <c r="BM2" s="26">
        <v>52</v>
      </c>
      <c r="BN2" s="26">
        <v>53</v>
      </c>
      <c r="BO2" s="26">
        <v>54</v>
      </c>
      <c r="BP2" s="26">
        <v>55</v>
      </c>
      <c r="BQ2" s="26">
        <v>56</v>
      </c>
      <c r="BR2" s="26">
        <v>57</v>
      </c>
      <c r="BS2" s="26">
        <v>58</v>
      </c>
      <c r="BT2" s="26">
        <v>59</v>
      </c>
      <c r="BU2" s="26">
        <v>60</v>
      </c>
    </row>
    <row r="3" spans="1:73" x14ac:dyDescent="0.3">
      <c r="A3">
        <v>1</v>
      </c>
      <c r="B3" t="s">
        <v>105</v>
      </c>
      <c r="C3">
        <v>5</v>
      </c>
      <c r="D3" s="33">
        <f ca="1">IF(A3&lt;&gt;"",SUMIF(SprintStories,Stories!A3,TaskEst),"")</f>
        <v>64</v>
      </c>
      <c r="E3" s="33">
        <f t="shared" ref="E3:E25" ca="1" si="0">IF(A3&lt;&gt;"",SUMIF(SprintStories,A3,TaskBalance),"")</f>
        <v>-1</v>
      </c>
      <c r="F3" s="33">
        <f t="shared" ref="F3:F25" ca="1" si="1">IF(A3&lt;&gt;"",SUMIF(SprintStories,A3,TaskExpVariance),"")</f>
        <v>-11</v>
      </c>
      <c r="G3" s="33">
        <f t="shared" ref="G3:G25" ca="1" si="2">IF(A3&lt;&gt;"",SUMIF(SprintStories,A3,TaskLeft),"")</f>
        <v>10</v>
      </c>
      <c r="H3">
        <v>1</v>
      </c>
      <c r="I3">
        <v>2</v>
      </c>
      <c r="J3" s="33">
        <f ca="1">IF(A3&lt;&gt;"",_xlfn.MINIFS(Sprint!$A$5:$A$32,Sprint!$B$5:$B$32,Stories!$A3),"")</f>
        <v>1</v>
      </c>
      <c r="K3" s="33">
        <f ca="1">_xlfn.MAXIFS(Sprint!$A$5:$A$32,Sprint!$B$5:$B$32,Stories!$A3)-_xlfn.MINIFS(Sprint!$A$5:$A$32,Sprint!$B$5:$B$32,Stories!$A3)</f>
        <v>2</v>
      </c>
      <c r="L3" s="35">
        <f ca="1">IFERROR((Stories!$D3-Stories!$G3)/Stories!$D3,"")</f>
        <v>0.84375</v>
      </c>
    </row>
    <row r="4" spans="1:73" x14ac:dyDescent="0.3">
      <c r="A4">
        <v>2</v>
      </c>
      <c r="B4" t="s">
        <v>106</v>
      </c>
      <c r="C4">
        <v>8</v>
      </c>
      <c r="D4" s="33">
        <f ca="1">IF(A4&lt;&gt;"",SUMIF(SprintStories,Stories!A4,TaskEst),"")</f>
        <v>137</v>
      </c>
      <c r="E4" s="33">
        <f t="shared" ca="1" si="0"/>
        <v>-20</v>
      </c>
      <c r="F4" s="33">
        <f t="shared" ca="1" si="1"/>
        <v>-20</v>
      </c>
      <c r="G4" s="33">
        <f t="shared" ca="1" si="2"/>
        <v>0</v>
      </c>
      <c r="H4">
        <v>1</v>
      </c>
      <c r="I4">
        <v>5</v>
      </c>
      <c r="J4" s="33">
        <f ca="1">IF(A4&lt;&gt;"",_xlfn.MINIFS(Sprint!$A$5:$A$32,Sprint!$B$5:$B$32,Stories!$A4),"")</f>
        <v>1</v>
      </c>
      <c r="K4" s="33">
        <f ca="1">_xlfn.MAXIFS(Sprint!$A$5:$A$32,Sprint!$B$5:$B$32,Stories!$A4)-_xlfn.MINIFS(Sprint!$A$5:$A$32,Sprint!$B$5:$B$32,Stories!$A4)</f>
        <v>5</v>
      </c>
      <c r="L4" s="35">
        <f ca="1">IFERROR((Stories!$D4-Stories!$G4)/Stories!$D4,"")</f>
        <v>1</v>
      </c>
    </row>
    <row r="5" spans="1:73" x14ac:dyDescent="0.3">
      <c r="A5">
        <v>3</v>
      </c>
      <c r="B5" t="s">
        <v>107</v>
      </c>
      <c r="C5">
        <v>3</v>
      </c>
      <c r="D5" s="33">
        <f ca="1">IF(A5&lt;&gt;"",SUMIF(SprintStories,Stories!A5,TaskEst),"")</f>
        <v>115</v>
      </c>
      <c r="E5" s="33">
        <f t="shared" ca="1" si="0"/>
        <v>41</v>
      </c>
      <c r="F5" s="33">
        <f t="shared" ca="1" si="1"/>
        <v>21</v>
      </c>
      <c r="G5" s="33">
        <f t="shared" ca="1" si="2"/>
        <v>20</v>
      </c>
      <c r="H5">
        <v>4</v>
      </c>
      <c r="I5">
        <v>2</v>
      </c>
      <c r="J5" s="33">
        <f ca="1">IF(A5&lt;&gt;"",_xlfn.MINIFS(Sprint!$A$5:$A$32,Sprint!$B$5:$B$32,Stories!$A5),"")</f>
        <v>4</v>
      </c>
      <c r="K5" s="33">
        <f ca="1">_xlfn.MAXIFS(Sprint!$A$5:$A$32,Sprint!$B$5:$B$32,Stories!$A5)-_xlfn.MINIFS(Sprint!$A$5:$A$32,Sprint!$B$5:$B$32,Stories!$A5)</f>
        <v>5</v>
      </c>
      <c r="L5" s="35">
        <f ca="1">IFERROR((Stories!$D5-Stories!$G5)/Stories!$D5,"")</f>
        <v>0.82608695652173914</v>
      </c>
    </row>
    <row r="6" spans="1:73" x14ac:dyDescent="0.3">
      <c r="A6">
        <v>4</v>
      </c>
      <c r="B6" t="s">
        <v>108</v>
      </c>
      <c r="C6">
        <v>1</v>
      </c>
      <c r="D6" s="33">
        <f ca="1">IF(A6&lt;&gt;"",SUMIF(SprintStories,Stories!A6,TaskEst),"")</f>
        <v>55</v>
      </c>
      <c r="E6" s="33">
        <f t="shared" ca="1" si="0"/>
        <v>11</v>
      </c>
      <c r="F6" s="33">
        <f t="shared" ca="1" si="1"/>
        <v>-15</v>
      </c>
      <c r="G6" s="33">
        <f t="shared" ca="1" si="2"/>
        <v>26</v>
      </c>
      <c r="H6">
        <v>1</v>
      </c>
      <c r="I6">
        <v>2</v>
      </c>
      <c r="J6" s="33">
        <f ca="1">IF(A6&lt;&gt;"",_xlfn.MINIFS(Sprint!$A$5:$A$32,Sprint!$B$5:$B$32,Stories!$A6),"")</f>
        <v>1</v>
      </c>
      <c r="K6" s="33">
        <f ca="1">_xlfn.MAXIFS(Sprint!$A$5:$A$32,Sprint!$B$5:$B$32,Stories!$A6)-_xlfn.MINIFS(Sprint!$A$5:$A$32,Sprint!$B$5:$B$32,Stories!$A6)</f>
        <v>2</v>
      </c>
      <c r="L6" s="35">
        <f ca="1">IFERROR((Stories!$D6-Stories!$G6)/Stories!$D6,"")</f>
        <v>0.52727272727272723</v>
      </c>
    </row>
    <row r="7" spans="1:73" x14ac:dyDescent="0.3">
      <c r="A7">
        <v>5</v>
      </c>
      <c r="B7" t="s">
        <v>109</v>
      </c>
      <c r="C7">
        <v>5</v>
      </c>
      <c r="D7" s="33">
        <f ca="1">IF(A7&lt;&gt;"",SUMIF(SprintStories,Stories!A7,TaskEst),"")</f>
        <v>16</v>
      </c>
      <c r="E7" s="33">
        <f t="shared" ca="1" si="0"/>
        <v>10</v>
      </c>
      <c r="F7" s="33">
        <f t="shared" ca="1" si="1"/>
        <v>6</v>
      </c>
      <c r="G7" s="33">
        <f t="shared" ca="1" si="2"/>
        <v>10</v>
      </c>
      <c r="H7">
        <v>1</v>
      </c>
      <c r="I7">
        <v>1</v>
      </c>
      <c r="J7" s="33">
        <f ca="1">IF(A7&lt;&gt;"",_xlfn.MINIFS(Sprint!$A$5:$A$32,Sprint!$B$5:$B$32,Stories!$A7),"")</f>
        <v>2</v>
      </c>
      <c r="K7" s="33">
        <f ca="1">_xlfn.MAXIFS(Sprint!$A$5:$A$32,Sprint!$B$5:$B$32,Stories!$A7)-_xlfn.MINIFS(Sprint!$A$5:$A$32,Sprint!$B$5:$B$32,Stories!$A7)</f>
        <v>1</v>
      </c>
      <c r="L7" s="35">
        <f ca="1">IFERROR((Stories!$D7-Stories!$G7)/Stories!$D7,"")</f>
        <v>0.375</v>
      </c>
    </row>
    <row r="8" spans="1:73" x14ac:dyDescent="0.3">
      <c r="A8">
        <v>6</v>
      </c>
      <c r="B8" t="s">
        <v>110</v>
      </c>
      <c r="C8">
        <v>9</v>
      </c>
      <c r="D8" s="33">
        <f ca="1">IF(A8&lt;&gt;"",SUMIF(SprintStories,Stories!A8,TaskEst),"")</f>
        <v>2</v>
      </c>
      <c r="E8" s="33">
        <f t="shared" ca="1" si="0"/>
        <v>2</v>
      </c>
      <c r="F8" s="33">
        <f t="shared" ca="1" si="1"/>
        <v>0</v>
      </c>
      <c r="G8" s="33">
        <f t="shared" ca="1" si="2"/>
        <v>2</v>
      </c>
      <c r="H8">
        <v>3</v>
      </c>
      <c r="I8">
        <v>3</v>
      </c>
      <c r="J8" s="33">
        <f ca="1">IF(A8&lt;&gt;"",_xlfn.MINIFS(Sprint!$A$5:$A$32,Sprint!$B$5:$B$32,Stories!$A8),"")</f>
        <v>3</v>
      </c>
      <c r="K8" s="33">
        <f ca="1">_xlfn.MAXIFS(Sprint!$A$5:$A$32,Sprint!$B$5:$B$32,Stories!$A8)-_xlfn.MINIFS(Sprint!$A$5:$A$32,Sprint!$B$5:$B$32,Stories!$A8)</f>
        <v>0</v>
      </c>
      <c r="L8" s="35">
        <f ca="1">IFERROR((Stories!$D8-Stories!$G8)/Stories!$D8,"")</f>
        <v>0</v>
      </c>
    </row>
    <row r="9" spans="1:73" x14ac:dyDescent="0.3">
      <c r="A9">
        <v>7</v>
      </c>
      <c r="B9" t="s">
        <v>111</v>
      </c>
      <c r="D9" s="33">
        <f ca="1">IF(A9&lt;&gt;"",SUMIF(SprintStories,Stories!A9,TaskEst),"")</f>
        <v>0</v>
      </c>
      <c r="E9" s="33">
        <f t="shared" ca="1" si="0"/>
        <v>0</v>
      </c>
      <c r="F9" s="33">
        <f t="shared" ca="1" si="1"/>
        <v>0</v>
      </c>
      <c r="G9" s="33">
        <f t="shared" ca="1" si="2"/>
        <v>0</v>
      </c>
      <c r="J9" s="33">
        <f ca="1">IF(A9&lt;&gt;"",_xlfn.MINIFS(Sprint!$A$5:$A$32,Sprint!$B$5:$B$32,Stories!$A9),"")</f>
        <v>0</v>
      </c>
      <c r="K9" s="33">
        <f ca="1">_xlfn.MAXIFS(Sprint!$A$5:$A$32,Sprint!$B$5:$B$32,Stories!$A9)-_xlfn.MINIFS(Sprint!$A$5:$A$32,Sprint!$B$5:$B$32,Stories!$A9)</f>
        <v>0</v>
      </c>
      <c r="L9" s="35" t="str">
        <f ca="1">IFERROR((Stories!$D9-Stories!$G9)/Stories!$D9,"")</f>
        <v/>
      </c>
    </row>
    <row r="10" spans="1:73" x14ac:dyDescent="0.3">
      <c r="A10">
        <v>8</v>
      </c>
      <c r="B10" t="s">
        <v>112</v>
      </c>
      <c r="D10" s="33">
        <f ca="1">IF(A10&lt;&gt;"",SUMIF(SprintStories,Stories!A10,TaskEst),"")</f>
        <v>0</v>
      </c>
      <c r="E10" s="33">
        <f ca="1">IF(A10&lt;&gt;"",SUMIF(SprintStories,A10,TaskBalance),"")</f>
        <v>0</v>
      </c>
      <c r="F10" s="33">
        <f ca="1">IF(A10&lt;&gt;"",SUMIF(SprintStories,A10,TaskExpVariance),"")</f>
        <v>0</v>
      </c>
      <c r="G10" s="33">
        <f t="shared" ca="1" si="2"/>
        <v>0</v>
      </c>
      <c r="J10" s="33">
        <f ca="1">IF(A10&lt;&gt;"",_xlfn.MINIFS(Sprint!$A$5:$A$32,Sprint!$B$5:$B$32,Stories!$A10),"")</f>
        <v>0</v>
      </c>
      <c r="K10" s="33">
        <f ca="1">_xlfn.MAXIFS(Sprint!$A$5:$A$32,Sprint!$B$5:$B$32,Stories!$A10)-_xlfn.MINIFS(Sprint!$A$5:$A$32,Sprint!$B$5:$B$32,Stories!$A10)</f>
        <v>0</v>
      </c>
      <c r="L10" s="35" t="str">
        <f ca="1">IFERROR((Stories!$D10-Stories!$G10)/Stories!$D10,"")</f>
        <v/>
      </c>
    </row>
    <row r="11" spans="1:73" x14ac:dyDescent="0.3">
      <c r="A11">
        <v>9</v>
      </c>
      <c r="B11" t="s">
        <v>113</v>
      </c>
      <c r="D11" s="33">
        <f ca="1">IF(A11&lt;&gt;"",SUMIF(SprintStories,Stories!A11,TaskEst),"")</f>
        <v>0</v>
      </c>
      <c r="E11" s="33">
        <f t="shared" ref="E11:E17" ca="1" si="3">IF(A11&lt;&gt;"",SUMIF(SprintStories,A11,TaskBalance),"")</f>
        <v>0</v>
      </c>
      <c r="F11" s="33">
        <f t="shared" ref="F11:F17" ca="1" si="4">IF(A11&lt;&gt;"",SUMIF(SprintStories,A11,TaskExpVariance),"")</f>
        <v>0</v>
      </c>
      <c r="G11" s="33">
        <f t="shared" ca="1" si="2"/>
        <v>0</v>
      </c>
      <c r="J11" s="33">
        <f ca="1">IF(A11&lt;&gt;"",_xlfn.MINIFS(Sprint!$A$5:$A$32,Sprint!$B$5:$B$32,Stories!$A11),"")</f>
        <v>0</v>
      </c>
      <c r="K11" s="33">
        <f ca="1">_xlfn.MAXIFS(Sprint!$A$5:$A$32,Sprint!$B$5:$B$32,Stories!$A11)-_xlfn.MINIFS(Sprint!$A$5:$A$32,Sprint!$B$5:$B$32,Stories!$A11)</f>
        <v>0</v>
      </c>
      <c r="L11" s="35" t="str">
        <f ca="1">IFERROR((Stories!$D11-Stories!$G11)/Stories!$D11,"")</f>
        <v/>
      </c>
    </row>
    <row r="12" spans="1:73" x14ac:dyDescent="0.3">
      <c r="A12">
        <v>10</v>
      </c>
      <c r="B12" t="s">
        <v>114</v>
      </c>
      <c r="D12" s="33">
        <f ca="1">IF(A12&lt;&gt;"",SUMIF(SprintStories,Stories!A12,TaskEst),"")</f>
        <v>0</v>
      </c>
      <c r="E12" s="33">
        <f t="shared" ca="1" si="3"/>
        <v>0</v>
      </c>
      <c r="F12" s="33">
        <f t="shared" ca="1" si="4"/>
        <v>0</v>
      </c>
      <c r="G12" s="33">
        <f t="shared" ca="1" si="2"/>
        <v>0</v>
      </c>
      <c r="J12" s="33">
        <f ca="1">IF(A12&lt;&gt;"",_xlfn.MINIFS(Sprint!$A$5:$A$32,Sprint!$B$5:$B$32,Stories!$A12),"")</f>
        <v>0</v>
      </c>
      <c r="K12" s="33">
        <f ca="1">_xlfn.MAXIFS(Sprint!$A$5:$A$32,Sprint!$B$5:$B$32,Stories!$A12)-_xlfn.MINIFS(Sprint!$A$5:$A$32,Sprint!$B$5:$B$32,Stories!$A12)</f>
        <v>0</v>
      </c>
      <c r="L12" s="35" t="str">
        <f ca="1">IFERROR((Stories!$D12-Stories!$G12)/Stories!$D12,"")</f>
        <v/>
      </c>
    </row>
    <row r="13" spans="1:73" x14ac:dyDescent="0.3">
      <c r="A13">
        <v>11</v>
      </c>
      <c r="B13" t="s">
        <v>115</v>
      </c>
      <c r="D13" s="33">
        <f ca="1">IF(A13&lt;&gt;"",SUMIF(SprintStories,Stories!A13,TaskEst),"")</f>
        <v>0</v>
      </c>
      <c r="E13" s="33">
        <f t="shared" ca="1" si="3"/>
        <v>0</v>
      </c>
      <c r="F13" s="33">
        <f t="shared" ca="1" si="4"/>
        <v>0</v>
      </c>
      <c r="G13" s="33">
        <f t="shared" ca="1" si="2"/>
        <v>0</v>
      </c>
      <c r="J13" s="33">
        <f ca="1">IF(A13&lt;&gt;"",_xlfn.MINIFS(Sprint!$A$5:$A$32,Sprint!$B$5:$B$32,Stories!$A13),"")</f>
        <v>0</v>
      </c>
      <c r="K13" s="33">
        <f ca="1">_xlfn.MAXIFS(Sprint!$A$5:$A$32,Sprint!$B$5:$B$32,Stories!$A13)-_xlfn.MINIFS(Sprint!$A$5:$A$32,Sprint!$B$5:$B$32,Stories!$A13)</f>
        <v>0</v>
      </c>
      <c r="L13" s="35" t="str">
        <f ca="1">IFERROR((Stories!$D13-Stories!$G13)/Stories!$D13,"")</f>
        <v/>
      </c>
    </row>
    <row r="14" spans="1:73" x14ac:dyDescent="0.3">
      <c r="A14">
        <v>12</v>
      </c>
      <c r="B14" t="s">
        <v>116</v>
      </c>
      <c r="D14" s="33">
        <f ca="1">IF(A14&lt;&gt;"",SUMIF(SprintStories,Stories!A14,TaskEst),"")</f>
        <v>0</v>
      </c>
      <c r="E14" s="33">
        <f t="shared" ca="1" si="3"/>
        <v>0</v>
      </c>
      <c r="F14" s="33">
        <f t="shared" ca="1" si="4"/>
        <v>0</v>
      </c>
      <c r="G14" s="33">
        <f t="shared" ca="1" si="2"/>
        <v>0</v>
      </c>
      <c r="J14" s="33">
        <f ca="1">IF(A14&lt;&gt;"",_xlfn.MINIFS(Sprint!$A$5:$A$32,Sprint!$B$5:$B$32,Stories!$A14),"")</f>
        <v>0</v>
      </c>
      <c r="K14" s="33">
        <f ca="1">_xlfn.MAXIFS(Sprint!$A$5:$A$32,Sprint!$B$5:$B$32,Stories!$A14)-_xlfn.MINIFS(Sprint!$A$5:$A$32,Sprint!$B$5:$B$32,Stories!$A14)</f>
        <v>0</v>
      </c>
      <c r="L14" s="35" t="str">
        <f ca="1">IFERROR((Stories!$D14-Stories!$G14)/Stories!$D14,"")</f>
        <v/>
      </c>
    </row>
    <row r="15" spans="1:73" x14ac:dyDescent="0.3">
      <c r="A15">
        <v>13</v>
      </c>
      <c r="B15" t="s">
        <v>117</v>
      </c>
      <c r="D15" s="33">
        <f ca="1">IF(A15&lt;&gt;"",SUMIF(SprintStories,Stories!A15,TaskEst),"")</f>
        <v>0</v>
      </c>
      <c r="E15" s="33">
        <f t="shared" ca="1" si="3"/>
        <v>0</v>
      </c>
      <c r="F15" s="33">
        <f t="shared" ca="1" si="4"/>
        <v>0</v>
      </c>
      <c r="G15" s="33">
        <f t="shared" ca="1" si="2"/>
        <v>0</v>
      </c>
      <c r="J15" s="33">
        <f ca="1">IF(A15&lt;&gt;"",_xlfn.MINIFS(Sprint!$A$5:$A$32,Sprint!$B$5:$B$32,Stories!$A15),"")</f>
        <v>0</v>
      </c>
      <c r="K15" s="33">
        <f ca="1">_xlfn.MAXIFS(Sprint!$A$5:$A$32,Sprint!$B$5:$B$32,Stories!$A15)-_xlfn.MINIFS(Sprint!$A$5:$A$32,Sprint!$B$5:$B$32,Stories!$A15)</f>
        <v>0</v>
      </c>
      <c r="L15" s="35" t="str">
        <f ca="1">IFERROR((Stories!$D15-Stories!$G15)/Stories!$D15,"")</f>
        <v/>
      </c>
    </row>
    <row r="16" spans="1:73" x14ac:dyDescent="0.3">
      <c r="A16">
        <v>14</v>
      </c>
      <c r="B16" t="s">
        <v>118</v>
      </c>
      <c r="D16" s="33">
        <f ca="1">IF(A16&lt;&gt;"",SUMIF(SprintStories,Stories!A16,TaskEst),"")</f>
        <v>0</v>
      </c>
      <c r="E16" s="33">
        <f t="shared" ca="1" si="3"/>
        <v>0</v>
      </c>
      <c r="F16" s="33">
        <f t="shared" ca="1" si="4"/>
        <v>0</v>
      </c>
      <c r="G16" s="33">
        <f t="shared" ca="1" si="2"/>
        <v>0</v>
      </c>
      <c r="J16" s="33">
        <f ca="1">IF(A16&lt;&gt;"",_xlfn.MINIFS(Sprint!$A$5:$A$32,Sprint!$B$5:$B$32,Stories!$A16),"")</f>
        <v>0</v>
      </c>
      <c r="K16" s="33">
        <f ca="1">_xlfn.MAXIFS(Sprint!$A$5:$A$32,Sprint!$B$5:$B$32,Stories!$A16)-_xlfn.MINIFS(Sprint!$A$5:$A$32,Sprint!$B$5:$B$32,Stories!$A16)</f>
        <v>0</v>
      </c>
      <c r="L16" s="35" t="str">
        <f ca="1">IFERROR((Stories!$D16-Stories!$G16)/Stories!$D16,"")</f>
        <v/>
      </c>
    </row>
    <row r="17" spans="1:73" x14ac:dyDescent="0.3">
      <c r="A17">
        <v>15</v>
      </c>
      <c r="B17" t="s">
        <v>119</v>
      </c>
      <c r="D17" s="33">
        <f ca="1">IF(A17&lt;&gt;"",SUMIF(SprintStories,Stories!A17,TaskEst),"")</f>
        <v>0</v>
      </c>
      <c r="E17" s="33">
        <f t="shared" ca="1" si="3"/>
        <v>0</v>
      </c>
      <c r="F17" s="33">
        <f t="shared" ca="1" si="4"/>
        <v>0</v>
      </c>
      <c r="G17" s="33">
        <f t="shared" ca="1" si="2"/>
        <v>0</v>
      </c>
      <c r="J17" s="33">
        <f ca="1">IF(A17&lt;&gt;"",_xlfn.MINIFS(Sprint!$A$5:$A$32,Sprint!$B$5:$B$32,Stories!$A17),"")</f>
        <v>0</v>
      </c>
      <c r="K17" s="33">
        <f ca="1">_xlfn.MAXIFS(Sprint!$A$5:$A$32,Sprint!$B$5:$B$32,Stories!$A17)-_xlfn.MINIFS(Sprint!$A$5:$A$32,Sprint!$B$5:$B$32,Stories!$A17)</f>
        <v>0</v>
      </c>
      <c r="L17" s="35" t="str">
        <f ca="1">IFERROR((Stories!$D17-Stories!$G17)/Stories!$D17,"")</f>
        <v/>
      </c>
    </row>
    <row r="18" spans="1:73" x14ac:dyDescent="0.3">
      <c r="A18">
        <v>16</v>
      </c>
      <c r="B18" t="s">
        <v>120</v>
      </c>
      <c r="D18" s="33">
        <f ca="1">IF(A18&lt;&gt;"",SUMIF(SprintStories,Stories!A18,TaskEst),"")</f>
        <v>0</v>
      </c>
      <c r="E18" s="33">
        <f t="shared" ca="1" si="0"/>
        <v>0</v>
      </c>
      <c r="F18" s="33">
        <f t="shared" ca="1" si="1"/>
        <v>0</v>
      </c>
      <c r="G18" s="33">
        <f t="shared" ca="1" si="2"/>
        <v>0</v>
      </c>
      <c r="J18" s="33">
        <f ca="1">IF(A18&lt;&gt;"",_xlfn.MINIFS(Sprint!$A$5:$A$32,Sprint!$B$5:$B$32,Stories!$A18),"")</f>
        <v>0</v>
      </c>
      <c r="K18" s="33">
        <f ca="1">_xlfn.MAXIFS(Sprint!$A$5:$A$32,Sprint!$B$5:$B$32,Stories!$A18)-_xlfn.MINIFS(Sprint!$A$5:$A$32,Sprint!$B$5:$B$32,Stories!$A18)</f>
        <v>0</v>
      </c>
      <c r="L18" s="35" t="str">
        <f ca="1">IFERROR((Stories!$D18-Stories!$G18)/Stories!$D18,"")</f>
        <v/>
      </c>
    </row>
    <row r="19" spans="1:73" x14ac:dyDescent="0.3">
      <c r="A19">
        <v>17</v>
      </c>
      <c r="B19" t="s">
        <v>121</v>
      </c>
      <c r="D19" s="33">
        <f ca="1">IF(A19&lt;&gt;"",SUMIF(SprintStories,Stories!A19,TaskEst),"")</f>
        <v>0</v>
      </c>
      <c r="E19" s="33">
        <f t="shared" ca="1" si="0"/>
        <v>0</v>
      </c>
      <c r="F19" s="33">
        <f t="shared" ca="1" si="1"/>
        <v>0</v>
      </c>
      <c r="G19" s="33">
        <f t="shared" ca="1" si="2"/>
        <v>0</v>
      </c>
      <c r="J19" s="33">
        <f ca="1">IF(A19&lt;&gt;"",_xlfn.MINIFS(Sprint!$A$5:$A$32,Sprint!$B$5:$B$32,Stories!$A19),"")</f>
        <v>0</v>
      </c>
      <c r="K19" s="33">
        <f ca="1">_xlfn.MAXIFS(Sprint!$A$5:$A$32,Sprint!$B$5:$B$32,Stories!$A19)-_xlfn.MINIFS(Sprint!$A$5:$A$32,Sprint!$B$5:$B$32,Stories!$A19)</f>
        <v>0</v>
      </c>
      <c r="L19" s="35" t="str">
        <f ca="1">IFERROR((Stories!$D19-Stories!$G19)/Stories!$D19,"")</f>
        <v/>
      </c>
    </row>
    <row r="20" spans="1:73" x14ac:dyDescent="0.3">
      <c r="A20">
        <v>18</v>
      </c>
      <c r="B20" t="s">
        <v>122</v>
      </c>
      <c r="D20" s="33">
        <f ca="1">IF(A20&lt;&gt;"",SUMIF(SprintStories,Stories!A20,TaskEst),"")</f>
        <v>0</v>
      </c>
      <c r="E20" s="33">
        <f t="shared" ca="1" si="0"/>
        <v>0</v>
      </c>
      <c r="F20" s="33">
        <f t="shared" ca="1" si="1"/>
        <v>0</v>
      </c>
      <c r="G20" s="33">
        <f t="shared" ca="1" si="2"/>
        <v>0</v>
      </c>
      <c r="J20" s="33">
        <f ca="1">IF(A20&lt;&gt;"",_xlfn.MINIFS(Sprint!$A$5:$A$32,Sprint!$B$5:$B$32,Stories!$A20),"")</f>
        <v>0</v>
      </c>
      <c r="K20" s="33">
        <f ca="1">_xlfn.MAXIFS(Sprint!$A$5:$A$32,Sprint!$B$5:$B$32,Stories!$A20)-_xlfn.MINIFS(Sprint!$A$5:$A$32,Sprint!$B$5:$B$32,Stories!$A20)</f>
        <v>0</v>
      </c>
      <c r="L20" s="35" t="str">
        <f ca="1">IFERROR((Stories!$D20-Stories!$G20)/Stories!$D20,"")</f>
        <v/>
      </c>
    </row>
    <row r="21" spans="1:73" x14ac:dyDescent="0.3">
      <c r="A21">
        <v>19</v>
      </c>
      <c r="B21" t="s">
        <v>123</v>
      </c>
      <c r="D21" s="33">
        <f ca="1">IF(A21&lt;&gt;"",SUMIF(SprintStories,Stories!A21,TaskEst),"")</f>
        <v>0</v>
      </c>
      <c r="E21" s="33">
        <f t="shared" ca="1" si="0"/>
        <v>0</v>
      </c>
      <c r="F21" s="33">
        <f t="shared" ca="1" si="1"/>
        <v>0</v>
      </c>
      <c r="G21" s="33">
        <f t="shared" ca="1" si="2"/>
        <v>0</v>
      </c>
      <c r="J21" s="33">
        <f ca="1">IF(A21&lt;&gt;"",_xlfn.MINIFS(Sprint!$A$5:$A$32,Sprint!$B$5:$B$32,Stories!$A21),"")</f>
        <v>0</v>
      </c>
      <c r="K21" s="33">
        <f ca="1">_xlfn.MAXIFS(Sprint!$A$5:$A$32,Sprint!$B$5:$B$32,Stories!$A21)-_xlfn.MINIFS(Sprint!$A$5:$A$32,Sprint!$B$5:$B$32,Stories!$A21)</f>
        <v>0</v>
      </c>
      <c r="L21" s="35" t="str">
        <f ca="1">IFERROR((Stories!$D21-Stories!$G21)/Stories!$D21,"")</f>
        <v/>
      </c>
    </row>
    <row r="22" spans="1:73" x14ac:dyDescent="0.3">
      <c r="A22">
        <v>20</v>
      </c>
      <c r="B22" t="s">
        <v>124</v>
      </c>
      <c r="D22" s="33">
        <f ca="1">IF(A22&lt;&gt;"",SUMIF(SprintStories,Stories!A22,TaskEst),"")</f>
        <v>0</v>
      </c>
      <c r="E22" s="33">
        <f ca="1">IF(A22&lt;&gt;"",SUMIF(SprintStories,A22,TaskBalance),"")</f>
        <v>0</v>
      </c>
      <c r="F22" s="33">
        <f ca="1">IF(A22&lt;&gt;"",SUMIF(SprintStories,A22,TaskExpVariance),"")</f>
        <v>0</v>
      </c>
      <c r="G22" s="33">
        <f ca="1">IF(A22&lt;&gt;"",SUMIF(SprintStories,A22,TaskLeft),"")</f>
        <v>0</v>
      </c>
      <c r="J22" s="33">
        <f ca="1">IF(A22&lt;&gt;"",_xlfn.MINIFS(Sprint!$A$5:$A$32,Sprint!$B$5:$B$32,Stories!$A22),"")</f>
        <v>0</v>
      </c>
      <c r="K22" s="33">
        <f ca="1">_xlfn.MAXIFS(Sprint!$A$5:$A$32,Sprint!$B$5:$B$32,Stories!$A22)-_xlfn.MINIFS(Sprint!$A$5:$A$32,Sprint!$B$5:$B$32,Stories!$A22)</f>
        <v>0</v>
      </c>
      <c r="L22" s="35" t="str">
        <f ca="1">IFERROR((Stories!$D22-Stories!$G22)/Stories!$D22,"")</f>
        <v/>
      </c>
    </row>
    <row r="23" spans="1:73" x14ac:dyDescent="0.3">
      <c r="A23">
        <v>21</v>
      </c>
      <c r="B23" t="s">
        <v>125</v>
      </c>
      <c r="D23" s="33">
        <f ca="1">IF(A23&lt;&gt;"",SUMIF(SprintStories,Stories!A23,TaskEst),"")</f>
        <v>0</v>
      </c>
      <c r="E23" s="33">
        <f ca="1">IF(A23&lt;&gt;"",SUMIF(SprintStories,A23,TaskBalance),"")</f>
        <v>0</v>
      </c>
      <c r="F23" s="33">
        <f ca="1">IF(A23&lt;&gt;"",SUMIF(SprintStories,A23,TaskExpVariance),"")</f>
        <v>0</v>
      </c>
      <c r="G23" s="33">
        <f ca="1">IF(A23&lt;&gt;"",SUMIF(SprintStories,A23,TaskLeft),"")</f>
        <v>0</v>
      </c>
      <c r="J23" s="33">
        <f ca="1">IF(A23&lt;&gt;"",_xlfn.MINIFS(Sprint!$A$5:$A$32,Sprint!$B$5:$B$32,Stories!$A23),"")</f>
        <v>0</v>
      </c>
      <c r="K23" s="33">
        <f ca="1">_xlfn.MAXIFS(Sprint!$A$5:$A$32,Sprint!$B$5:$B$32,Stories!$A23)-_xlfn.MINIFS(Sprint!$A$5:$A$32,Sprint!$B$5:$B$32,Stories!$A23)</f>
        <v>0</v>
      </c>
      <c r="L23" s="35" t="str">
        <f ca="1">IFERROR((Stories!$D23-Stories!$G23)/Stories!$D23,"")</f>
        <v/>
      </c>
    </row>
    <row r="24" spans="1:73" x14ac:dyDescent="0.3">
      <c r="A24">
        <v>22</v>
      </c>
      <c r="B24" t="s">
        <v>126</v>
      </c>
      <c r="D24" s="33">
        <f ca="1">IF(A24&lt;&gt;"",SUMIF(SprintStories,Stories!A24,TaskEst),"")</f>
        <v>0</v>
      </c>
      <c r="E24" s="33">
        <f t="shared" ca="1" si="0"/>
        <v>0</v>
      </c>
      <c r="F24" s="33">
        <f t="shared" ca="1" si="1"/>
        <v>0</v>
      </c>
      <c r="G24" s="33">
        <f t="shared" ca="1" si="2"/>
        <v>0</v>
      </c>
      <c r="J24" s="33">
        <f ca="1">IF(A24&lt;&gt;"",_xlfn.MINIFS(Sprint!$A$5:$A$32,Sprint!$B$5:$B$32,Stories!$A24),"")</f>
        <v>0</v>
      </c>
      <c r="K24" s="33">
        <f ca="1">_xlfn.MAXIFS(Sprint!$A$5:$A$32,Sprint!$B$5:$B$32,Stories!$A24)-_xlfn.MINIFS(Sprint!$A$5:$A$32,Sprint!$B$5:$B$32,Stories!$A24)</f>
        <v>0</v>
      </c>
      <c r="L24" s="35" t="str">
        <f ca="1">IFERROR((Stories!$D24-Stories!$G24)/Stories!$D24,"")</f>
        <v/>
      </c>
    </row>
    <row r="25" spans="1:73" x14ac:dyDescent="0.3">
      <c r="A25">
        <v>23</v>
      </c>
      <c r="B25" t="s">
        <v>127</v>
      </c>
      <c r="D25" s="33">
        <f ca="1">IF(A25&lt;&gt;"",SUMIF(SprintStories,Stories!A25,TaskEst),"")</f>
        <v>0</v>
      </c>
      <c r="E25" s="33">
        <f t="shared" ca="1" si="0"/>
        <v>0</v>
      </c>
      <c r="F25" s="33">
        <f t="shared" ca="1" si="1"/>
        <v>0</v>
      </c>
      <c r="G25" s="33">
        <f t="shared" ca="1" si="2"/>
        <v>0</v>
      </c>
      <c r="J25" s="33">
        <f ca="1">IF(A25&lt;&gt;"",_xlfn.MINIFS(Sprint!$A$5:$A$32,Sprint!$B$5:$B$32,Stories!$A25),"")</f>
        <v>0</v>
      </c>
      <c r="K25" s="33">
        <f ca="1">_xlfn.MAXIFS(Sprint!$A$5:$A$32,Sprint!$B$5:$B$32,Stories!$A25)-_xlfn.MINIFS(Sprint!$A$5:$A$32,Sprint!$B$5:$B$32,Stories!$A25)</f>
        <v>0</v>
      </c>
      <c r="L25" s="35" t="str">
        <f ca="1">IFERROR((Stories!$D25-Stories!$G25)/Stories!$D25,"")</f>
        <v/>
      </c>
    </row>
    <row r="26" spans="1:73" x14ac:dyDescent="0.3">
      <c r="A26">
        <v>24</v>
      </c>
      <c r="B26" t="s">
        <v>128</v>
      </c>
      <c r="D26" s="33">
        <f ca="1">IF(A26&lt;&gt;"",SUMIF(SprintStories,Stories!A26,TaskEst),"")</f>
        <v>0</v>
      </c>
      <c r="E26" s="33">
        <f t="shared" ref="E26:E29" ca="1" si="5">IF(A26&lt;&gt;"",SUMIF(SprintStories,A26,TaskBalance),"")</f>
        <v>0</v>
      </c>
      <c r="F26" s="33">
        <f t="shared" ref="F26:F29" ca="1" si="6">IF(A26&lt;&gt;"",SUMIF(SprintStories,A26,TaskExpVariance),"")</f>
        <v>0</v>
      </c>
      <c r="G26" s="33">
        <f t="shared" ref="G26:G29" ca="1" si="7">IF(A26&lt;&gt;"",SUMIF(SprintStories,A26,TaskLeft),"")</f>
        <v>0</v>
      </c>
      <c r="J26" s="33">
        <f ca="1">IF(A26&lt;&gt;"",_xlfn.MINIFS(Sprint!$A$5:$A$32,Sprint!$B$5:$B$32,Stories!$A26),"")</f>
        <v>0</v>
      </c>
      <c r="K26" s="33">
        <f ca="1">_xlfn.MAXIFS(Sprint!$A$5:$A$32,Sprint!$B$5:$B$32,Stories!$A26)-_xlfn.MINIFS(Sprint!$A$5:$A$32,Sprint!$B$5:$B$32,Stories!$A26)</f>
        <v>0</v>
      </c>
      <c r="L26" s="35" t="str">
        <f ca="1">IFERROR((Stories!$D26-Stories!$G26)/Stories!$D26,"")</f>
        <v/>
      </c>
    </row>
    <row r="27" spans="1:73" x14ac:dyDescent="0.3">
      <c r="A27">
        <v>25</v>
      </c>
      <c r="B27" t="s">
        <v>129</v>
      </c>
      <c r="D27" s="33">
        <f ca="1">IF(A27&lt;&gt;"",SUMIF(SprintStories,Stories!A27,TaskEst),"")</f>
        <v>0</v>
      </c>
      <c r="E27" s="33">
        <f t="shared" ca="1" si="5"/>
        <v>0</v>
      </c>
      <c r="F27" s="33">
        <f t="shared" ca="1" si="6"/>
        <v>0</v>
      </c>
      <c r="G27" s="33">
        <f t="shared" ca="1" si="7"/>
        <v>0</v>
      </c>
      <c r="J27" s="33">
        <f ca="1">IF(A27&lt;&gt;"",_xlfn.MINIFS(Sprint!$A$5:$A$32,Sprint!$B$5:$B$32,Stories!$A27),"")</f>
        <v>0</v>
      </c>
      <c r="K27" s="33">
        <f ca="1">_xlfn.MAXIFS(Sprint!$A$5:$A$32,Sprint!$B$5:$B$32,Stories!$A27)-_xlfn.MINIFS(Sprint!$A$5:$A$32,Sprint!$B$5:$B$32,Stories!$A27)</f>
        <v>0</v>
      </c>
      <c r="L27" s="35" t="str">
        <f ca="1">IFERROR((Stories!$D27-Stories!$G27)/Stories!$D27,"")</f>
        <v/>
      </c>
    </row>
    <row r="28" spans="1:73" x14ac:dyDescent="0.3">
      <c r="A28">
        <v>26</v>
      </c>
      <c r="B28" t="s">
        <v>130</v>
      </c>
      <c r="D28" s="33">
        <f ca="1">IF(A28&lt;&gt;"",SUMIF(SprintStories,Stories!A28,TaskEst),"")</f>
        <v>0</v>
      </c>
      <c r="E28" s="33">
        <f t="shared" ca="1" si="5"/>
        <v>0</v>
      </c>
      <c r="F28" s="33">
        <f t="shared" ca="1" si="6"/>
        <v>0</v>
      </c>
      <c r="G28" s="33">
        <f t="shared" ca="1" si="7"/>
        <v>0</v>
      </c>
      <c r="J28" s="33">
        <f ca="1">IF(A28&lt;&gt;"",_xlfn.MINIFS(Sprint!$A$5:$A$32,Sprint!$B$5:$B$32,Stories!$A28),"")</f>
        <v>0</v>
      </c>
      <c r="K28" s="33">
        <f ca="1">_xlfn.MAXIFS(Sprint!$A$5:$A$32,Sprint!$B$5:$B$32,Stories!$A28)-_xlfn.MINIFS(Sprint!$A$5:$A$32,Sprint!$B$5:$B$32,Stories!$A28)</f>
        <v>0</v>
      </c>
      <c r="L28" s="35" t="str">
        <f ca="1">IFERROR((Stories!$D28-Stories!$G28)/Stories!$D28,"")</f>
        <v/>
      </c>
    </row>
    <row r="29" spans="1:73" x14ac:dyDescent="0.3">
      <c r="D29" s="33" t="str">
        <f>IF(A29&lt;&gt;"",SUMIF(SprintStories,Stories!A29,TaskEst),"")</f>
        <v/>
      </c>
      <c r="E29" s="33" t="str">
        <f t="shared" si="5"/>
        <v/>
      </c>
      <c r="F29" s="33" t="str">
        <f t="shared" si="6"/>
        <v/>
      </c>
      <c r="G29" s="33" t="str">
        <f t="shared" si="7"/>
        <v/>
      </c>
      <c r="J29" s="33" t="str">
        <f>IF(A29&lt;&gt;"",_xlfn.MINIFS(Sprint!$A$5:$A$32,Sprint!$B$5:$B$32,Stories!$A29),"")</f>
        <v/>
      </c>
      <c r="K29" s="33">
        <f ca="1">_xlfn.MAXIFS(Sprint!$A$5:$A$32,Sprint!$B$5:$B$32,Stories!$A29)-_xlfn.MINIFS(Sprint!$A$5:$A$32,Sprint!$B$5:$B$32,Stories!$A29)</f>
        <v>0</v>
      </c>
      <c r="L29" s="35" t="str">
        <f>IFERROR((Stories!$D29-Stories!$G29)/Stories!$D29,"")</f>
        <v/>
      </c>
    </row>
    <row r="30" spans="1:73" ht="15" thickBot="1" x14ac:dyDescent="0.35">
      <c r="A30" s="24"/>
      <c r="B30" s="24"/>
      <c r="C30" s="24"/>
      <c r="D30" s="34">
        <f ca="1">SUM(D3:D29)</f>
        <v>389</v>
      </c>
      <c r="E30" s="34">
        <f ca="1">SUM(E3:E29)</f>
        <v>43</v>
      </c>
      <c r="F30" s="34">
        <f ca="1">SUM(F3:F29)</f>
        <v>-19</v>
      </c>
      <c r="G30" s="34">
        <f ca="1">SUM(G3:G29)</f>
        <v>68</v>
      </c>
      <c r="H30" s="29"/>
      <c r="I30" s="29"/>
      <c r="J30" s="29" t="str">
        <f>IF(A30&lt;&gt;"",_xlfn.MINIFS(Sprint!$A$5:$A$32,Sprint!$B$5:$B$32,Stories!$A30),"")</f>
        <v/>
      </c>
      <c r="K30" s="29" t="str">
        <f>IF(AND(Stories!$L30&gt;=100%,Stories!$A30&lt;&gt;""),_xlfn.MAXIFS(Sprint!$A$5:$A$32,Sprint!$B$5:$B$32,Stories!$A30),"")</f>
        <v/>
      </c>
      <c r="L30" s="30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</row>
    <row r="31" spans="1:73" ht="15" thickTop="1" x14ac:dyDescent="0.3"/>
  </sheetData>
  <conditionalFormatting sqref="N3:BU29">
    <cfRule type="expression" dxfId="9" priority="1">
      <formula>PercentComplete</formula>
    </cfRule>
    <cfRule type="expression" dxfId="8" priority="2">
      <formula>PercentCompleteBeyond</formula>
    </cfRule>
    <cfRule type="expression" dxfId="7" priority="3">
      <formula>Actual</formula>
    </cfRule>
    <cfRule type="expression" dxfId="6" priority="4">
      <formula>ActualBeyond</formula>
    </cfRule>
    <cfRule type="expression" dxfId="5" priority="5">
      <formula>Plan</formula>
    </cfRule>
    <cfRule type="expression" dxfId="4" priority="6">
      <formula>N$2=period_selected</formula>
    </cfRule>
    <cfRule type="expression" priority="7">
      <formula>MOD(COLUMN(),2)</formula>
    </cfRule>
    <cfRule type="expression" priority="9">
      <formula>MOD(COLUMN(),2)=0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print="0" autoPict="0" altText="Period Highlight Spin Control">
                <anchor moveWithCells="1">
                  <from>
                    <xdr:col>19</xdr:col>
                    <xdr:colOff>68580</xdr:colOff>
                    <xdr:row>0</xdr:row>
                    <xdr:rowOff>30480</xdr:rowOff>
                  </from>
                  <to>
                    <xdr:col>19</xdr:col>
                    <xdr:colOff>190500</xdr:colOff>
                    <xdr:row>0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workbookViewId="0">
      <selection activeCell="B2" sqref="A2:B2"/>
    </sheetView>
  </sheetViews>
  <sheetFormatPr defaultRowHeight="14.4" x14ac:dyDescent="0.3"/>
  <cols>
    <col min="1" max="1" width="20.77734375" customWidth="1"/>
    <col min="2" max="2" width="13.6640625" customWidth="1"/>
  </cols>
  <sheetData>
    <row r="1" spans="1:2" ht="15" thickBot="1" x14ac:dyDescent="0.35">
      <c r="A1" s="5" t="s">
        <v>18</v>
      </c>
      <c r="B1" s="6" t="s">
        <v>82</v>
      </c>
    </row>
    <row r="2" spans="1:2" x14ac:dyDescent="0.3">
      <c r="A2" t="s">
        <v>19</v>
      </c>
      <c r="B2">
        <f ca="1">IFERROR(SUMIFS(TaskEst,ResourceUsed,Resources!A2,SprintID,SprintInput),IF($A2&lt;&gt;"","Initial estimate missing",""))</f>
        <v>60</v>
      </c>
    </row>
    <row r="3" spans="1:2" x14ac:dyDescent="0.3">
      <c r="A3" t="s">
        <v>20</v>
      </c>
      <c r="B3">
        <f ca="1">IFERROR(SUMIFS(TaskEst,ResourceUsed,Resources!A3,SprintID,SprintInput),IF($A3&lt;&gt;"","Initial estimate missing",""))</f>
        <v>47</v>
      </c>
    </row>
    <row r="4" spans="1:2" x14ac:dyDescent="0.3">
      <c r="A4" t="s">
        <v>136</v>
      </c>
      <c r="B4">
        <f ca="1">IFERROR(SUMIFS(TaskEst,ResourceUsed,Resources!A4,SprintID,SprintInput),IF($A4&lt;&gt;"","Initial estimate missing",""))</f>
        <v>70</v>
      </c>
    </row>
    <row r="5" spans="1:2" x14ac:dyDescent="0.3">
      <c r="B5">
        <f ca="1">IFERROR(SUMIFS(TaskEst,ResourceUsed,Resources!A5,SprintID,SprintInput),IF($A5&lt;&gt;"","Initial estimate missing",""))</f>
        <v>0</v>
      </c>
    </row>
    <row r="6" spans="1:2" x14ac:dyDescent="0.3">
      <c r="B6">
        <f ca="1">IFERROR(SUMIFS(TaskEst,ResourceUsed,Resources!A6,SprintID,SprintInput),IF($A6&lt;&gt;"","Initial estimate missing",""))</f>
        <v>0</v>
      </c>
    </row>
    <row r="7" spans="1:2" x14ac:dyDescent="0.3">
      <c r="B7">
        <f ca="1">IFERROR(SUMIFS(TaskEst,ResourceUsed,Resources!A7,SprintID,SprintInput),IF($A7&lt;&gt;"","Initial estimate missing",""))</f>
        <v>0</v>
      </c>
    </row>
    <row r="8" spans="1:2" x14ac:dyDescent="0.3">
      <c r="B8">
        <f ca="1">IFERROR(SUMIFS(TaskEst,ResourceUsed,Resources!A8,SprintID,SprintInput),IF($A8&lt;&gt;"","Initial estimate missing",""))</f>
        <v>0</v>
      </c>
    </row>
    <row r="9" spans="1:2" x14ac:dyDescent="0.3">
      <c r="B9">
        <f ca="1">IFERROR(SUMIFS(TaskEst,ResourceUsed,Resources!A9,SprintID,SprintInput),IF($A9&lt;&gt;"","Initial estimate missing",""))</f>
        <v>0</v>
      </c>
    </row>
    <row r="10" spans="1:2" x14ac:dyDescent="0.3">
      <c r="B10">
        <f ca="1">IFERROR(SUMIFS(TaskEst,ResourceUsed,Resources!A10,SprintID,SprintInput),IF($A10&lt;&gt;"","Initial estimate missing",""))</f>
        <v>0</v>
      </c>
    </row>
    <row r="11" spans="1:2" x14ac:dyDescent="0.3">
      <c r="B11">
        <f ca="1">IFERROR(SUMIFS(TaskEst,ResourceUsed,Resources!A11,SprintID,SprintInput),IF($A11&lt;&gt;"","Initial estimate missing",""))</f>
        <v>0</v>
      </c>
    </row>
    <row r="12" spans="1:2" x14ac:dyDescent="0.3">
      <c r="B12">
        <f ca="1">IFERROR(SUMIFS(TaskEst,ResourceUsed,Resources!A12,SprintID,SprintInput),IF($A12&lt;&gt;"","Initial estimate missing",""))</f>
        <v>0</v>
      </c>
    </row>
    <row r="13" spans="1:2" x14ac:dyDescent="0.3">
      <c r="B13">
        <f ca="1">IFERROR(SUMIFS(TaskEst,ResourceUsed,Resources!A13,SprintID,SprintInput),IF($A13&lt;&gt;"","Initial estimate missing",""))</f>
        <v>0</v>
      </c>
    </row>
    <row r="14" spans="1:2" x14ac:dyDescent="0.3">
      <c r="B14">
        <f ca="1">IFERROR(SUMIFS(TaskEst,ResourceUsed,Resources!A14,SprintID,SprintInput),IF($A14&lt;&gt;"","Initial estimate missing",""))</f>
        <v>0</v>
      </c>
    </row>
    <row r="15" spans="1:2" x14ac:dyDescent="0.3">
      <c r="B15">
        <f ca="1">IFERROR(SUMIFS(TaskEst,ResourceUsed,Resources!A15,SprintID,SprintInput),IF($A15&lt;&gt;"","Initial estimate missing",""))</f>
        <v>0</v>
      </c>
    </row>
    <row r="16" spans="1:2" x14ac:dyDescent="0.3">
      <c r="B16">
        <f ca="1">IFERROR(SUMIFS(TaskEst,ResourceUsed,Resources!A16,SprintID,SprintInput),IF($A16&lt;&gt;"","Initial estimate missing",""))</f>
        <v>0</v>
      </c>
    </row>
    <row r="17" spans="1:2" x14ac:dyDescent="0.3">
      <c r="B17">
        <f ca="1">IFERROR(SUMIFS(TaskEst,ResourceUsed,Resources!A17,SprintID,SprintInput),IF($A17&lt;&gt;"","Initial estimate missing",""))</f>
        <v>0</v>
      </c>
    </row>
    <row r="18" spans="1:2" x14ac:dyDescent="0.3">
      <c r="B18">
        <f ca="1">IFERROR(SUMIFS(TaskEst,ResourceUsed,Resources!A18,SprintID,SprintInput),IF($A18&lt;&gt;"","Initial estimate missing",""))</f>
        <v>0</v>
      </c>
    </row>
    <row r="19" spans="1:2" x14ac:dyDescent="0.3">
      <c r="B19">
        <f ca="1">IFERROR(SUMIFS(TaskEst,ResourceUsed,Resources!A19,SprintID,SprintInput),IF($A19&lt;&gt;"","Initial estimate missing",""))</f>
        <v>0</v>
      </c>
    </row>
    <row r="20" spans="1:2" ht="15" thickBot="1" x14ac:dyDescent="0.35">
      <c r="A20" s="4" t="s">
        <v>24</v>
      </c>
      <c r="B20" s="4">
        <f ca="1">SUM(B2:B18)</f>
        <v>177</v>
      </c>
    </row>
    <row r="21" spans="1:2" ht="15" thickTop="1" x14ac:dyDescent="0.3"/>
  </sheetData>
  <conditionalFormatting sqref="A2:B19">
    <cfRule type="expression" dxfId="3" priority="2">
      <formula>$B2&gt;80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AEF3A1-683A-4A32-A5CD-477800F960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Sprint</vt:lpstr>
      <vt:lpstr>Tasks</vt:lpstr>
      <vt:lpstr>Status</vt:lpstr>
      <vt:lpstr>Sprints</vt:lpstr>
      <vt:lpstr>Burndown Chart</vt:lpstr>
      <vt:lpstr>Stories</vt:lpstr>
      <vt:lpstr>Resources</vt:lpstr>
      <vt:lpstr>Sprint!Criteria</vt:lpstr>
      <vt:lpstr>FindTaskCell</vt:lpstr>
      <vt:lpstr>hiddenrow</vt:lpstr>
      <vt:lpstr>period_selected</vt:lpstr>
      <vt:lpstr>SprintDate</vt:lpstr>
      <vt:lpstr>SprintInput</vt:lpstr>
      <vt:lpstr>SprintStory</vt:lpstr>
      <vt:lpstr>Statuses</vt:lpstr>
      <vt:lpstr>StoriesTable</vt:lpstr>
      <vt:lpstr>Sprint!TaskIDRange</vt:lpstr>
      <vt:lpstr>TaskNames</vt:lpstr>
      <vt:lpstr>TaskTable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Faris</dc:creator>
  <cp:lastModifiedBy>Rodney Faris</cp:lastModifiedBy>
  <dcterms:created xsi:type="dcterms:W3CDTF">2016-09-16T17:15:19Z</dcterms:created>
  <dcterms:modified xsi:type="dcterms:W3CDTF">2016-11-10T05:55:06Z</dcterms:modified>
</cp:coreProperties>
</file>