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dney\Documents\ExcelTemplates\ProjectTrackingV2\"/>
    </mc:Choice>
  </mc:AlternateContent>
  <bookViews>
    <workbookView xWindow="0" yWindow="0" windowWidth="16176" windowHeight="8028"/>
  </bookViews>
  <sheets>
    <sheet name="Sprint" sheetId="1" r:id="rId1"/>
    <sheet name="Tasks" sheetId="6" r:id="rId2"/>
    <sheet name="Status" sheetId="7" r:id="rId3"/>
    <sheet name="Sprints" sheetId="5" r:id="rId4"/>
    <sheet name="Burndown Chart" sheetId="4" r:id="rId5"/>
    <sheet name="Stories" sheetId="2" r:id="rId6"/>
    <sheet name="Resources" sheetId="3" r:id="rId7"/>
  </sheets>
  <functionGroups builtInGroupCount="18"/>
  <definedNames>
    <definedName name="_xlnm._FilterDatabase" localSheetId="0" hidden="1">Sprint!$A$3:$AX$3</definedName>
    <definedName name="_xlnm._FilterDatabase" localSheetId="1" hidden="1">Tasks!$A$1:$F$35</definedName>
    <definedName name="Actual">(PeriodInActual*(Stories!$I1&gt;0))*PeriodInPlan</definedName>
    <definedName name="ActualBeyond">PeriodInActual*(Stories!$I1&gt;0)</definedName>
    <definedName name="_xlnm.Criteria" localSheetId="0">Sprint!$A$1:$A$2</definedName>
    <definedName name="FindTaskCell">Sprint!$F$1</definedName>
    <definedName name="hiddenrow">Sprint!1:2</definedName>
    <definedName name="PercentComplete">PercentCompleteBeyond*PeriodInPlan</definedName>
    <definedName name="PercentCompleteBeyond">(Stories!A$2=MEDIAN(Stories!A$2,Stories!$I1,Stories!$I1+Stories!$J1)*(Stories!$I1&gt;0))*((Stories!A$2&lt;(INT(Stories!$I1+Stories!$J1*Stories!$K1)))+(Stories!A$2=Stories!$I1))*(Stories!$K1&gt;0)</definedName>
    <definedName name="period_selected">Stories!$R$1</definedName>
    <definedName name="PeriodInActual">Stories!A$2=MEDIAN(Stories!A$2,Stories!$I1,Stories!$I1+Stories!$J1-1)</definedName>
    <definedName name="PeriodInPlan">Stories!A$2=MEDIAN(Stories!A$2,Stories!$G1,Stories!$G1+Stories!$H1-1)</definedName>
    <definedName name="Plan">PeriodInPlan*(Stories!$G1&gt;0)</definedName>
    <definedName name="Resource">OFFSET(Resources!$A$2,0,0,COUNTA(Resources!$A$2:'Resources'!$A$19),1)</definedName>
    <definedName name="ResourceUsed">OFFSET(Sprint!$F$5,0,0,COUNTA(Sprint!$F$5:'Sprint'!$F$68),1)</definedName>
    <definedName name="SprintActivity">OFFSET(Sprint!$H$5,0,0,COUNTA(Sprint!$H$5:'Sprint'!$ZH$68),20)</definedName>
    <definedName name="SprintDate">Table3[End Date]</definedName>
    <definedName name="SprintID">OFFSET(Sprint!$A$5,0,0,COUNTA(Sprint!$A$5:'Sprint'!$A$68),1)</definedName>
    <definedName name="SprintInput">Sprint!$B$1</definedName>
    <definedName name="Sprints">OFFSET(Sprints!$A$2,0,0,COUNTA(Sprints!$A$2:'Sprints'!$A$62),1)</definedName>
    <definedName name="SprintStories">OFFSET(Sprint!$B$5,0,0,COUNTA(Sprint!$B$5:'Sprint'!$B$68),1)</definedName>
    <definedName name="SprintStory">Table4[Story]</definedName>
    <definedName name="Statuses">Status!$A$2:$A$5</definedName>
    <definedName name="StoriesTable">Stories!$C$3:$BT$29</definedName>
    <definedName name="Story">OFFSET(Stories!$B$3,0,0,COUNTA(Stories!$B$3:'Stories'!$B$29),1)</definedName>
    <definedName name="StoryID">OFFSET(Stories!$A$3,0,0,COUNTA(Stories!$A$3:'Stories'!$A$29),1)</definedName>
    <definedName name="TaskBalance">OFFSET(Sprint!$AB$5,0,0,COUNTA(Sprint!$AB$5:'Sprint'!$AB$68),1)</definedName>
    <definedName name="TaskEst">OFFSET(Sprint!$G$5,0,0,COUNTA(Sprint!$G$5:'Sprint'!$G$68),1)</definedName>
    <definedName name="TaskExpVariance">OFFSET(Sprint!$AC$5,0,0,COUNTA(Sprint!$AC$5:'Sprint'!$AC$68),1)</definedName>
    <definedName name="TaskIDRange" localSheetId="0">Sprint!$D$5:'Sprint'!$D$68</definedName>
    <definedName name="TaskLeft">OFFSET(Sprint!$AX$5,0,0,COUNTA(Sprint!$AX$5:'Sprint'!$AX$68),1)</definedName>
    <definedName name="TaskList">OFFSET(Tasks!$A$2,0,0,COUNTA(Tasks!$A$2:'Tasks'!$A$35),1)</definedName>
    <definedName name="TaskNames">Tasks!$D$2:$D$35</definedName>
    <definedName name="TaskTable">Tasks!$A$1:$F$35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0" i="1" l="1"/>
  <c r="AX21" i="1"/>
  <c r="AX22" i="1"/>
  <c r="AX23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24" i="1"/>
  <c r="AX12" i="1"/>
  <c r="AX13" i="1"/>
  <c r="AX18" i="1"/>
  <c r="AX16" i="1"/>
  <c r="AX17" i="1"/>
  <c r="AX11" i="1"/>
  <c r="AX6" i="1"/>
  <c r="AX5" i="1"/>
  <c r="AX20" i="1"/>
  <c r="AX15" i="1"/>
  <c r="AX19" i="1"/>
  <c r="AX9" i="1"/>
  <c r="AX14" i="1"/>
  <c r="AX7" i="1"/>
  <c r="AX8" i="1"/>
  <c r="B17" i="6" l="1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14" i="6"/>
  <c r="B15" i="6"/>
  <c r="B16" i="6"/>
  <c r="E7" i="1"/>
  <c r="E11" i="1"/>
  <c r="E10" i="1"/>
  <c r="E9" i="1"/>
  <c r="E8" i="1"/>
  <c r="AB13" i="1" l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B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B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B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B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B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B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B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B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B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B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B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B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B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B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B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B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B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B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B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B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B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B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B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B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B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B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B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B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B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B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B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B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B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B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B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B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B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B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B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B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B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B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B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B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B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B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B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B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B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B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B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B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B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B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D2" i="1"/>
  <c r="AC56" i="1"/>
  <c r="AC37" i="1"/>
  <c r="AC46" i="1"/>
  <c r="AC35" i="1"/>
  <c r="AC22" i="1"/>
  <c r="AC15" i="1"/>
  <c r="AC50" i="1"/>
  <c r="AC40" i="1"/>
  <c r="AC19" i="1"/>
  <c r="AC53" i="1"/>
  <c r="AC39" i="1"/>
  <c r="AC61" i="1"/>
  <c r="AC54" i="1"/>
  <c r="AC13" i="1"/>
  <c r="AC21" i="1"/>
  <c r="AC49" i="1"/>
  <c r="AC20" i="1"/>
  <c r="AC30" i="1"/>
  <c r="AC44" i="1"/>
  <c r="AC25" i="1"/>
  <c r="AC24" i="1"/>
  <c r="AC31" i="1"/>
  <c r="AC28" i="1"/>
  <c r="AC42" i="1"/>
  <c r="AC59" i="1"/>
  <c r="AC47" i="1"/>
  <c r="AC43" i="1"/>
  <c r="AC16" i="1"/>
  <c r="AC67" i="1"/>
  <c r="AC65" i="1"/>
  <c r="AC62" i="1"/>
  <c r="AC29" i="1"/>
  <c r="AC48" i="1"/>
  <c r="AC52" i="1"/>
  <c r="AC33" i="1"/>
  <c r="AC14" i="1"/>
  <c r="AC60" i="1"/>
  <c r="AC23" i="1"/>
  <c r="AC36" i="1"/>
  <c r="AC18" i="1"/>
  <c r="AC51" i="1"/>
  <c r="AC55" i="1"/>
  <c r="AC34" i="1"/>
  <c r="AC32" i="1"/>
  <c r="AC17" i="1"/>
  <c r="AC26" i="1"/>
  <c r="AC57" i="1"/>
  <c r="AC45" i="1"/>
  <c r="AC27" i="1"/>
  <c r="AC41" i="1"/>
  <c r="AC63" i="1"/>
  <c r="AC58" i="1"/>
  <c r="AC38" i="1"/>
  <c r="AC66" i="1"/>
  <c r="AC64" i="1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AB68" i="1" l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E16" i="1"/>
  <c r="B16" i="1"/>
  <c r="AC68" i="1"/>
  <c r="AB9" i="1" l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B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B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B9" i="1"/>
  <c r="B10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5" i="1"/>
  <c r="E14" i="1"/>
  <c r="E13" i="1"/>
  <c r="E12" i="1"/>
  <c r="E6" i="1"/>
  <c r="E5" i="1"/>
  <c r="B2" i="6"/>
  <c r="B3" i="6"/>
  <c r="B4" i="6"/>
  <c r="B5" i="6"/>
  <c r="B6" i="6"/>
  <c r="B7" i="6"/>
  <c r="B8" i="6"/>
  <c r="B9" i="6"/>
  <c r="B10" i="6"/>
  <c r="B11" i="6"/>
  <c r="B12" i="6"/>
  <c r="B13" i="6"/>
  <c r="B5" i="1"/>
  <c r="B6" i="1"/>
  <c r="B7" i="1"/>
  <c r="B8" i="1"/>
  <c r="B11" i="1"/>
  <c r="B12" i="1"/>
  <c r="B13" i="1"/>
  <c r="B14" i="1"/>
  <c r="B15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AB5" i="1"/>
  <c r="AB6" i="1"/>
  <c r="AB7" i="1"/>
  <c r="AB8" i="1"/>
  <c r="AB12" i="1"/>
  <c r="C29" i="2"/>
  <c r="K29" i="2" s="1"/>
  <c r="J29" i="2" s="1"/>
  <c r="D29" i="2"/>
  <c r="E29" i="2"/>
  <c r="F29" i="2"/>
  <c r="I29" i="2"/>
  <c r="I30" i="2"/>
  <c r="J30" i="2"/>
  <c r="A5" i="5"/>
  <c r="C3" i="5"/>
  <c r="B4" i="5"/>
  <c r="C4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C1" i="1"/>
  <c r="A2" i="1"/>
  <c r="AA69" i="1" s="1"/>
  <c r="A4" i="5"/>
  <c r="AC7" i="1"/>
  <c r="AC9" i="1"/>
  <c r="AC6" i="1"/>
  <c r="AC10" i="1"/>
  <c r="AC12" i="1"/>
  <c r="AC8" i="1"/>
  <c r="AC11" i="1"/>
  <c r="AC5" i="1"/>
  <c r="I3" i="2" l="1"/>
  <c r="AJ69" i="1"/>
  <c r="Q6" i="4" s="1"/>
  <c r="AW69" i="1"/>
  <c r="P12" i="4" s="1"/>
  <c r="AR69" i="1"/>
  <c r="Q10" i="4" s="1"/>
  <c r="AQ69" i="1"/>
  <c r="P9" i="4" s="1"/>
  <c r="AI69" i="1"/>
  <c r="P5" i="4" s="1"/>
  <c r="AE69" i="1"/>
  <c r="P3" i="4" s="1"/>
  <c r="AT69" i="1"/>
  <c r="Q11" i="4" s="1"/>
  <c r="AD69" i="1"/>
  <c r="Q3" i="4" s="1"/>
  <c r="AF69" i="1"/>
  <c r="Q4" i="4" s="1"/>
  <c r="AV69" i="1"/>
  <c r="Q12" i="4" s="1"/>
  <c r="AK69" i="1"/>
  <c r="P6" i="4" s="1"/>
  <c r="AU69" i="1"/>
  <c r="P11" i="4" s="1"/>
  <c r="AM69" i="1"/>
  <c r="P7" i="4" s="1"/>
  <c r="AN69" i="1"/>
  <c r="Q8" i="4" s="1"/>
  <c r="J69" i="1"/>
  <c r="H69" i="1"/>
  <c r="L69" i="1"/>
  <c r="G69" i="1"/>
  <c r="P2" i="4" s="1"/>
  <c r="R2" i="4" s="1"/>
  <c r="R8" i="4" s="1"/>
  <c r="N69" i="1"/>
  <c r="AH69" i="1"/>
  <c r="Q5" i="4" s="1"/>
  <c r="AL69" i="1"/>
  <c r="Q7" i="4" s="1"/>
  <c r="AP69" i="1"/>
  <c r="Q9" i="4" s="1"/>
  <c r="O69" i="1"/>
  <c r="A69" i="1"/>
  <c r="K69" i="1"/>
  <c r="Q69" i="1"/>
  <c r="I69" i="1"/>
  <c r="M69" i="1"/>
  <c r="R69" i="1"/>
  <c r="AS69" i="1"/>
  <c r="P10" i="4" s="1"/>
  <c r="AO69" i="1"/>
  <c r="P8" i="4" s="1"/>
  <c r="AG69" i="1"/>
  <c r="P4" i="4" s="1"/>
  <c r="S69" i="1"/>
  <c r="P69" i="1"/>
  <c r="T69" i="1"/>
  <c r="V69" i="1"/>
  <c r="W69" i="1"/>
  <c r="AB69" i="1"/>
  <c r="X69" i="1"/>
  <c r="U69" i="1"/>
  <c r="Y69" i="1"/>
  <c r="R11" i="4"/>
  <c r="Z69" i="1"/>
  <c r="C5" i="2"/>
  <c r="C12" i="2"/>
  <c r="I27" i="2"/>
  <c r="I17" i="2"/>
  <c r="B20" i="3"/>
  <c r="I25" i="2"/>
  <c r="D25" i="2"/>
  <c r="D19" i="2"/>
  <c r="C20" i="2"/>
  <c r="I9" i="2"/>
  <c r="D4" i="2"/>
  <c r="D13" i="2"/>
  <c r="AX69" i="1"/>
  <c r="AC69" i="1"/>
  <c r="F15" i="2"/>
  <c r="F23" i="2"/>
  <c r="E27" i="2"/>
  <c r="E23" i="2"/>
  <c r="E14" i="2"/>
  <c r="E19" i="2"/>
  <c r="I8" i="2"/>
  <c r="D27" i="2"/>
  <c r="D28" i="2"/>
  <c r="D3" i="2"/>
  <c r="D18" i="2"/>
  <c r="E18" i="2"/>
  <c r="E13" i="2"/>
  <c r="D12" i="2"/>
  <c r="D22" i="2"/>
  <c r="F7" i="2"/>
  <c r="C4" i="2"/>
  <c r="C23" i="2"/>
  <c r="I20" i="2"/>
  <c r="F18" i="2"/>
  <c r="C15" i="2"/>
  <c r="I12" i="2"/>
  <c r="F10" i="2"/>
  <c r="C26" i="2"/>
  <c r="E4" i="2"/>
  <c r="E25" i="2"/>
  <c r="D17" i="2"/>
  <c r="I5" i="2"/>
  <c r="F4" i="2"/>
  <c r="C24" i="2"/>
  <c r="I21" i="2"/>
  <c r="F19" i="2"/>
  <c r="C16" i="2"/>
  <c r="I13" i="2"/>
  <c r="F11" i="2"/>
  <c r="C8" i="2"/>
  <c r="E3" i="2"/>
  <c r="D24" i="2"/>
  <c r="E24" i="2"/>
  <c r="E17" i="2"/>
  <c r="D16" i="2"/>
  <c r="I4" i="2"/>
  <c r="F3" i="2"/>
  <c r="I28" i="2"/>
  <c r="I24" i="2"/>
  <c r="F22" i="2"/>
  <c r="C19" i="2"/>
  <c r="I16" i="2"/>
  <c r="F14" i="2"/>
  <c r="C11" i="2"/>
  <c r="E28" i="2"/>
  <c r="D6" i="2"/>
  <c r="E6" i="2"/>
  <c r="D7" i="2"/>
  <c r="D21" i="2"/>
  <c r="D9" i="2"/>
  <c r="E21" i="2"/>
  <c r="E9" i="2"/>
  <c r="E16" i="2"/>
  <c r="E12" i="2"/>
  <c r="D15" i="2"/>
  <c r="D11" i="2"/>
  <c r="E10" i="2"/>
  <c r="I6" i="2"/>
  <c r="E22" i="2"/>
  <c r="F6" i="2"/>
  <c r="C3" i="2"/>
  <c r="F25" i="2"/>
  <c r="I23" i="2"/>
  <c r="C22" i="2"/>
  <c r="F21" i="2"/>
  <c r="I19" i="2"/>
  <c r="C18" i="2"/>
  <c r="F17" i="2"/>
  <c r="I15" i="2"/>
  <c r="C14" i="2"/>
  <c r="F13" i="2"/>
  <c r="I11" i="2"/>
  <c r="C10" i="2"/>
  <c r="F9" i="2"/>
  <c r="C7" i="2"/>
  <c r="C28" i="2"/>
  <c r="C27" i="2"/>
  <c r="D5" i="2"/>
  <c r="E5" i="2"/>
  <c r="E7" i="2"/>
  <c r="D20" i="2"/>
  <c r="D8" i="2"/>
  <c r="E20" i="2"/>
  <c r="E8" i="2"/>
  <c r="E15" i="2"/>
  <c r="E11" i="2"/>
  <c r="D14" i="2"/>
  <c r="D10" i="2"/>
  <c r="I7" i="2"/>
  <c r="D23" i="2"/>
  <c r="F5" i="2"/>
  <c r="C6" i="2"/>
  <c r="I26" i="2"/>
  <c r="C25" i="2"/>
  <c r="F24" i="2"/>
  <c r="I22" i="2"/>
  <c r="C21" i="2"/>
  <c r="F20" i="2"/>
  <c r="I18" i="2"/>
  <c r="C17" i="2"/>
  <c r="F16" i="2"/>
  <c r="I14" i="2"/>
  <c r="C13" i="2"/>
  <c r="F12" i="2"/>
  <c r="I10" i="2"/>
  <c r="C9" i="2"/>
  <c r="F8" i="2"/>
  <c r="F28" i="2"/>
  <c r="F27" i="2"/>
  <c r="F26" i="2"/>
  <c r="E26" i="2"/>
  <c r="D26" i="2"/>
  <c r="K17" i="2" l="1"/>
  <c r="J17" i="2" s="1"/>
  <c r="K10" i="2"/>
  <c r="J10" i="2" s="1"/>
  <c r="K25" i="2"/>
  <c r="J25" i="2" s="1"/>
  <c r="K13" i="2"/>
  <c r="J13" i="2" s="1"/>
  <c r="K22" i="2"/>
  <c r="J22" i="2" s="1"/>
  <c r="K15" i="2"/>
  <c r="J15" i="2" s="1"/>
  <c r="K6" i="2"/>
  <c r="J6" i="2" s="1"/>
  <c r="K9" i="2"/>
  <c r="J9" i="2" s="1"/>
  <c r="K23" i="2"/>
  <c r="J23" i="2" s="1"/>
  <c r="R4" i="4"/>
  <c r="R6" i="4"/>
  <c r="R10" i="4"/>
  <c r="R3" i="4"/>
  <c r="R5" i="4"/>
  <c r="R12" i="4"/>
  <c r="R7" i="4"/>
  <c r="R9" i="4"/>
  <c r="K21" i="2"/>
  <c r="J21" i="2" s="1"/>
  <c r="K5" i="2"/>
  <c r="J5" i="2" s="1"/>
  <c r="K12" i="2"/>
  <c r="J12" i="2" s="1"/>
  <c r="K14" i="2"/>
  <c r="J14" i="2" s="1"/>
  <c r="K19" i="2"/>
  <c r="J19" i="2" s="1"/>
  <c r="K7" i="2"/>
  <c r="J7" i="2" s="1"/>
  <c r="K18" i="2"/>
  <c r="J18" i="2" s="1"/>
  <c r="K11" i="2"/>
  <c r="J11" i="2" s="1"/>
  <c r="K20" i="2"/>
  <c r="J20" i="2" s="1"/>
  <c r="K27" i="2"/>
  <c r="J27" i="2" s="1"/>
  <c r="C30" i="2"/>
  <c r="K3" i="2"/>
  <c r="J3" i="2" s="1"/>
  <c r="F30" i="2"/>
  <c r="K8" i="2"/>
  <c r="J8" i="2" s="1"/>
  <c r="K26" i="2"/>
  <c r="J26" i="2" s="1"/>
  <c r="K28" i="2"/>
  <c r="J28" i="2" s="1"/>
  <c r="E30" i="2"/>
  <c r="K24" i="2"/>
  <c r="J24" i="2" s="1"/>
  <c r="D30" i="2"/>
  <c r="K16" i="2"/>
  <c r="J16" i="2" s="1"/>
  <c r="K4" i="2"/>
  <c r="J4" i="2" s="1"/>
</calcChain>
</file>

<file path=xl/connections.xml><?xml version="1.0" encoding="utf-8"?>
<connections xmlns="http://schemas.openxmlformats.org/spreadsheetml/2006/main">
  <connection id="1" keepAlive="1" name="Query - Sprints" description="Connection to the 'Sprints' query in the workbook." type="5" refreshedVersion="0" background="1">
    <dbPr connection="Provider=Microsoft.Mashup.OleDb.1;Data Source=$Workbook$;Location=Sprints" command="SELECT * FROM [Sprints]"/>
  </connection>
  <connection id="2" keepAlive="1" name="Query - TaskTable" description="Connection to the 'TaskTable' query in the workbook." type="5" refreshedVersion="0" background="1">
    <dbPr connection="Provider=Microsoft.Mashup.OleDb.1;Data Source=$Workbook$;Location=TaskTable" command="SELECT * FROM [TaskTable]"/>
  </connection>
</connections>
</file>

<file path=xl/sharedStrings.xml><?xml version="1.0" encoding="utf-8"?>
<sst xmlns="http://schemas.openxmlformats.org/spreadsheetml/2006/main" count="266" uniqueCount="137">
  <si>
    <t>Story</t>
  </si>
  <si>
    <t>Tasks</t>
  </si>
  <si>
    <t>Initial</t>
  </si>
  <si>
    <t>Spent</t>
  </si>
  <si>
    <t>Left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</si>
  <si>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</si>
  <si>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</si>
  <si>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</si>
  <si>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</si>
  <si>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</si>
  <si>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</si>
  <si>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</si>
  <si>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</si>
  <si>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</si>
  <si>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</si>
  <si>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Totals</t>
  </si>
  <si>
    <t>Balance</t>
  </si>
  <si>
    <t>Exp Var</t>
  </si>
  <si>
    <t>Resource</t>
  </si>
  <si>
    <t>Rodney</t>
  </si>
  <si>
    <t>Alexis</t>
  </si>
  <si>
    <t>Brandon</t>
  </si>
  <si>
    <t>Story ID</t>
  </si>
  <si>
    <t>Estimate</t>
  </si>
  <si>
    <t>Exp Variance</t>
  </si>
  <si>
    <t>Total</t>
  </si>
  <si>
    <t>In Prog</t>
  </si>
  <si>
    <t>To Do</t>
  </si>
  <si>
    <t>Day</t>
  </si>
  <si>
    <t>In Progress</t>
  </si>
  <si>
    <t>Optimal</t>
  </si>
  <si>
    <t>Sprint ID</t>
  </si>
  <si>
    <t>Start Date</t>
  </si>
  <si>
    <t>End Date</t>
  </si>
  <si>
    <t>SprintID</t>
  </si>
  <si>
    <t>Spent2</t>
  </si>
  <si>
    <t>Left3</t>
  </si>
  <si>
    <t>Spent4</t>
  </si>
  <si>
    <t>Left5</t>
  </si>
  <si>
    <t>Left7</t>
  </si>
  <si>
    <t>Spent8</t>
  </si>
  <si>
    <t>Left9</t>
  </si>
  <si>
    <t>Spent10</t>
  </si>
  <si>
    <t>Left11</t>
  </si>
  <si>
    <t>Spent12</t>
  </si>
  <si>
    <t>Left13</t>
  </si>
  <si>
    <t>Spent14</t>
  </si>
  <si>
    <t>Left15</t>
  </si>
  <si>
    <t>Spent16</t>
  </si>
  <si>
    <t>Left17</t>
  </si>
  <si>
    <t>Spent18</t>
  </si>
  <si>
    <t>Left19</t>
  </si>
  <si>
    <t>In Prog20</t>
  </si>
  <si>
    <t>To Do21</t>
  </si>
  <si>
    <t>In Prog22</t>
  </si>
  <si>
    <t>To Do23</t>
  </si>
  <si>
    <t>In Prog24</t>
  </si>
  <si>
    <t>To Do25</t>
  </si>
  <si>
    <t>In Prog26</t>
  </si>
  <si>
    <t>To Do27</t>
  </si>
  <si>
    <t>In Prog28</t>
  </si>
  <si>
    <t>To Do29</t>
  </si>
  <si>
    <t>In Prog30</t>
  </si>
  <si>
    <t>To Do31</t>
  </si>
  <si>
    <t>In Prog32</t>
  </si>
  <si>
    <t>To Do33</t>
  </si>
  <si>
    <t>In Prog34</t>
  </si>
  <si>
    <t>To Do35</t>
  </si>
  <si>
    <t>In Prog36</t>
  </si>
  <si>
    <t>To Do37</t>
  </si>
  <si>
    <t>Left38</t>
  </si>
  <si>
    <t>Spent3</t>
  </si>
  <si>
    <t>Actual Start</t>
  </si>
  <si>
    <t xml:space="preserve"> Period Highlight:</t>
  </si>
  <si>
    <t>Plan</t>
  </si>
  <si>
    <t>Actual</t>
  </si>
  <si>
    <r>
      <rPr>
        <sz val="12"/>
        <color theme="1" tint="0.24994659260841701"/>
        <rFont val="Calibri"/>
        <family val="2"/>
      </rPr>
      <t>%</t>
    </r>
    <r>
      <rPr>
        <sz val="11"/>
        <color theme="1"/>
        <rFont val="Calibri"/>
        <family val="2"/>
        <scheme val="min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</si>
  <si>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/>
        <rFont val="Calibri"/>
        <family val="2"/>
        <scheme val="min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</si>
  <si>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/>
        <rFont val="Calibri"/>
        <family val="2"/>
        <scheme val="min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</si>
  <si>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Plan Duration</t>
  </si>
  <si>
    <t>Actual Duration</t>
  </si>
  <si>
    <t>Percent Complete</t>
  </si>
  <si>
    <t>Plan    Start</t>
  </si>
  <si>
    <t>Est Hours</t>
  </si>
  <si>
    <t>All</t>
  </si>
  <si>
    <t>All Sprints</t>
  </si>
  <si>
    <t>StoryID</t>
  </si>
  <si>
    <t>Task</t>
  </si>
  <si>
    <t>Description</t>
  </si>
  <si>
    <t>Status</t>
  </si>
  <si>
    <t>New</t>
  </si>
  <si>
    <t>In progress</t>
  </si>
  <si>
    <t>Deferred</t>
  </si>
  <si>
    <t>Completed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</si>
  <si>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</si>
  <si>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</si>
  <si>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</si>
  <si>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</si>
  <si>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</si>
  <si>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</si>
  <si>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</si>
  <si>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</si>
  <si>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</si>
  <si>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</si>
  <si>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</si>
  <si>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</si>
  <si>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Story 1</t>
  </si>
  <si>
    <t>Story 2</t>
  </si>
  <si>
    <t>Story 3</t>
  </si>
  <si>
    <t>Story 4</t>
  </si>
  <si>
    <t>Story 5</t>
  </si>
  <si>
    <t>Story 6</t>
  </si>
  <si>
    <t>Story 7</t>
  </si>
  <si>
    <t>Story 8</t>
  </si>
  <si>
    <t>Story 9</t>
  </si>
  <si>
    <t>Story 10</t>
  </si>
  <si>
    <t>Story 11</t>
  </si>
  <si>
    <t>Story 12</t>
  </si>
  <si>
    <t>Story 13</t>
  </si>
  <si>
    <t>Story 14</t>
  </si>
  <si>
    <t>Story 15</t>
  </si>
  <si>
    <t>Story 16</t>
  </si>
  <si>
    <t>Story 17</t>
  </si>
  <si>
    <t>Story 18</t>
  </si>
  <si>
    <t>Story 19</t>
  </si>
  <si>
    <t>Story 20</t>
  </si>
  <si>
    <t>Story 21</t>
  </si>
  <si>
    <t>Story 22</t>
  </si>
  <si>
    <t>Story 23</t>
  </si>
  <si>
    <t>Story 24</t>
  </si>
  <si>
    <t>Story 25</t>
  </si>
  <si>
    <t>Story 26</t>
  </si>
  <si>
    <t>Column1</t>
  </si>
  <si>
    <t>TaskID</t>
  </si>
  <si>
    <t>Task 13</t>
  </si>
  <si>
    <t>task 15</t>
  </si>
  <si>
    <t>Task 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</si>
</sst>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sz val="12"/>
      <color theme="1" tint="0.24994659260841701"/>
      <name val="Calibri"/>
      <family val="2"/>
    </font>
    <font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</borders>
  <cellStyleXfs count="4">
    <xf numFmtId="0" fontId="0" fillId="0" borderId="0"/>
    <xf numFmtId="0" fontId="5" fillId="3" borderId="22" applyNumberFormat="0" applyProtection="0">
      <alignment horizontal="left" vertical="center"/>
    </xf>
    <xf numFmtId="0" fontId="6" fillId="0" borderId="0" applyNumberFormat="0" applyFill="0" applyBorder="0" applyProtection="0">
      <alignment horizontal="left" vertical="center"/>
    </xf>
    <xf numFmtId="9" fontId="9" fillId="0" borderId="0" applyFont="0" applyFill="0" applyBorder="0" applyAlignment="0" applyProtection="0"/>
  </cellStyleXfs>
  <cellXfs count="92">
    <xf numFmtId="0" fontId="0" fillId="0" borderId="0" xfId="0"/>
    <xf numFmtId="0" fontId="0" fillId="0" borderId="0" xfId="0" applyFill="1"/>
    <xf numFmtId="0" fontId="0" fillId="0" borderId="0" xfId="0" applyFill="1" applyBorder="1"/>
    <xf numFmtId="14" fontId="0" fillId="0" borderId="0" xfId="0" applyNumberFormat="1" applyFill="1" applyAlignment="1" applyProtection="1">
      <alignment horizontal="left"/>
      <protection locked="0"/>
    </xf>
    <xf numFmtId="0" fontId="0" fillId="0" borderId="2" xfId="0" applyBorder="1"/>
    <xf numFmtId="0" fontId="1" fillId="0" borderId="3" xfId="0" applyFont="1" applyBorder="1"/>
    <xf numFmtId="0" fontId="1" fillId="0" borderId="3" xfId="0" applyFont="1" applyBorder="1" applyAlignment="1">
      <alignment horizontal="center"/>
    </xf>
    <xf numFmtId="49" fontId="1" fillId="0" borderId="8" xfId="0" applyNumberFormat="1" applyFont="1" applyFill="1" applyBorder="1" applyAlignment="1">
      <alignment horizontal="right" textRotation="180" wrapText="1"/>
    </xf>
    <xf numFmtId="49" fontId="1" fillId="0" borderId="8" xfId="0" applyNumberFormat="1" applyFont="1" applyFill="1" applyBorder="1" applyAlignment="1">
      <alignment horizontal="center" wrapText="1"/>
    </xf>
    <xf numFmtId="49" fontId="1" fillId="0" borderId="4" xfId="0" applyNumberFormat="1" applyFont="1" applyFill="1" applyBorder="1" applyAlignment="1">
      <alignment horizontal="right" textRotation="180" wrapText="1"/>
    </xf>
    <xf numFmtId="0" fontId="0" fillId="0" borderId="6" xfId="0" applyFont="1" applyFill="1" applyBorder="1"/>
    <xf numFmtId="0" fontId="2" fillId="0" borderId="10" xfId="0" applyFont="1" applyFill="1" applyBorder="1"/>
    <xf numFmtId="0" fontId="0" fillId="0" borderId="7" xfId="0" applyFont="1" applyBorder="1"/>
    <xf numFmtId="0" fontId="2" fillId="0" borderId="7" xfId="0" applyFont="1" applyBorder="1"/>
    <xf numFmtId="0" fontId="0" fillId="0" borderId="9" xfId="0" applyFont="1" applyBorder="1"/>
    <xf numFmtId="0" fontId="2" fillId="0" borderId="9" xfId="0" applyFont="1" applyBorder="1"/>
    <xf numFmtId="0" fontId="0" fillId="0" borderId="11" xfId="0" applyFont="1" applyBorder="1"/>
    <xf numFmtId="0" fontId="0" fillId="0" borderId="1" xfId="0" applyFont="1" applyBorder="1"/>
    <xf numFmtId="14" fontId="0" fillId="0" borderId="0" xfId="0" applyNumberFormat="1"/>
    <xf numFmtId="0" fontId="1" fillId="0" borderId="0" xfId="0" applyFont="1"/>
    <xf numFmtId="0" fontId="0" fillId="0" borderId="6" xfId="0" applyFont="1" applyBorder="1"/>
    <xf numFmtId="49" fontId="1" fillId="0" borderId="13" xfId="0" applyNumberFormat="1" applyFont="1" applyFill="1" applyBorder="1" applyAlignment="1">
      <alignment horizontal="center" wrapText="1"/>
    </xf>
    <xf numFmtId="0" fontId="0" fillId="0" borderId="15" xfId="0" applyFont="1" applyBorder="1"/>
    <xf numFmtId="0" fontId="0" fillId="0" borderId="16" xfId="0" applyFill="1" applyBorder="1"/>
    <xf numFmtId="0" fontId="0" fillId="0" borderId="11" xfId="0" applyFill="1" applyBorder="1"/>
    <xf numFmtId="49" fontId="1" fillId="0" borderId="12" xfId="0" applyNumberFormat="1" applyFont="1" applyFill="1" applyBorder="1" applyAlignment="1">
      <alignment horizontal="right" textRotation="180" wrapText="1"/>
    </xf>
    <xf numFmtId="49" fontId="0" fillId="0" borderId="8" xfId="0" applyNumberFormat="1" applyFont="1" applyFill="1" applyBorder="1" applyAlignment="1">
      <alignment horizontal="right" vertical="center" textRotation="180" wrapText="1"/>
    </xf>
    <xf numFmtId="49" fontId="2" fillId="0" borderId="8" xfId="0" applyNumberFormat="1" applyFont="1" applyFill="1" applyBorder="1" applyAlignment="1">
      <alignment horizontal="right" vertical="center" textRotation="180" wrapText="1"/>
    </xf>
    <xf numFmtId="49" fontId="1" fillId="0" borderId="20" xfId="0" applyNumberFormat="1" applyFont="1" applyFill="1" applyBorder="1" applyAlignment="1">
      <alignment horizontal="right" textRotation="180" wrapText="1"/>
    </xf>
    <xf numFmtId="14" fontId="1" fillId="0" borderId="0" xfId="0" applyNumberFormat="1" applyFont="1" applyFill="1" applyProtection="1">
      <protection locked="0"/>
    </xf>
    <xf numFmtId="0" fontId="0" fillId="2" borderId="0" xfId="0" applyFill="1" applyProtection="1">
      <protection locked="0"/>
    </xf>
    <xf numFmtId="49" fontId="0" fillId="0" borderId="7" xfId="0" applyNumberFormat="1" applyFont="1" applyBorder="1"/>
    <xf numFmtId="49" fontId="0" fillId="0" borderId="1" xfId="0" applyNumberFormat="1" applyFont="1" applyBorder="1"/>
    <xf numFmtId="0" fontId="0" fillId="0" borderId="14" xfId="0" applyFont="1" applyBorder="1" applyProtection="1">
      <protection locked="0"/>
    </xf>
    <xf numFmtId="0" fontId="0" fillId="0" borderId="15" xfId="0" applyFont="1" applyBorder="1" applyProtection="1">
      <protection locked="0"/>
    </xf>
    <xf numFmtId="14" fontId="1" fillId="0" borderId="0" xfId="0" applyNumberFormat="1" applyFont="1" applyFill="1" applyAlignment="1" applyProtection="1">
      <alignment horizontal="center"/>
    </xf>
    <xf numFmtId="0" fontId="0" fillId="0" borderId="9" xfId="0" applyFont="1" applyFill="1" applyBorder="1"/>
    <xf numFmtId="0" fontId="2" fillId="0" borderId="9" xfId="0" applyFont="1" applyFill="1" applyBorder="1"/>
    <xf numFmtId="0" fontId="2" fillId="0" borderId="1" xfId="0" applyFont="1" applyFill="1" applyBorder="1"/>
    <xf numFmtId="0" fontId="0" fillId="0" borderId="8" xfId="0" applyFont="1" applyFill="1" applyBorder="1"/>
    <xf numFmtId="0" fontId="2" fillId="0" borderId="8" xfId="0" applyFont="1" applyFill="1" applyBorder="1"/>
    <xf numFmtId="0" fontId="2" fillId="0" borderId="4" xfId="0" applyFont="1" applyFill="1" applyBorder="1"/>
    <xf numFmtId="0" fontId="2" fillId="0" borderId="6" xfId="0" applyFont="1" applyFill="1" applyBorder="1"/>
    <xf numFmtId="0" fontId="0" fillId="0" borderId="18" xfId="0" applyFont="1" applyFill="1" applyBorder="1"/>
    <xf numFmtId="0" fontId="2" fillId="0" borderId="18" xfId="0" applyFont="1" applyFill="1" applyBorder="1"/>
    <xf numFmtId="0" fontId="2" fillId="0" borderId="21" xfId="0" applyFont="1" applyFill="1" applyBorder="1"/>
    <xf numFmtId="0" fontId="5" fillId="3" borderId="22" xfId="1">
      <alignment horizontal="left" vertical="center"/>
    </xf>
    <xf numFmtId="0" fontId="0" fillId="0" borderId="0" xfId="0" applyAlignment="1">
      <alignment horizontal="center"/>
    </xf>
    <xf numFmtId="0" fontId="0" fillId="4" borderId="23" xfId="0" applyFill="1" applyBorder="1" applyAlignment="1">
      <alignment horizontal="center"/>
    </xf>
    <xf numFmtId="0" fontId="7" fillId="0" borderId="0" xfId="2" applyFont="1">
      <alignment horizontal="left" vertical="center"/>
    </xf>
    <xf numFmtId="0" fontId="0" fillId="5" borderId="23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0" borderId="0" xfId="2" applyFont="1">
      <alignment horizontal="left" vertical="center"/>
    </xf>
    <xf numFmtId="0" fontId="0" fillId="7" borderId="23" xfId="0" applyFill="1" applyBorder="1" applyAlignment="1">
      <alignment horizontal="center"/>
    </xf>
    <xf numFmtId="0" fontId="0" fillId="0" borderId="0" xfId="0" applyAlignment="1">
      <alignment vertical="center"/>
    </xf>
    <xf numFmtId="0" fontId="0" fillId="8" borderId="23" xfId="0" applyFill="1" applyBorder="1" applyAlignment="1">
      <alignment horizontal="center"/>
    </xf>
    <xf numFmtId="0" fontId="8" fillId="3" borderId="22" xfId="1" applyFont="1">
      <alignment horizontal="left" vertical="center"/>
    </xf>
    <xf numFmtId="0" fontId="0" fillId="0" borderId="24" xfId="0" applyBorder="1"/>
    <xf numFmtId="0" fontId="1" fillId="0" borderId="25" xfId="0" applyFont="1" applyBorder="1"/>
    <xf numFmtId="0" fontId="1" fillId="0" borderId="25" xfId="0" applyFont="1" applyBorder="1" applyAlignment="1">
      <alignment horizontal="right"/>
    </xf>
    <xf numFmtId="0" fontId="1" fillId="0" borderId="25" xfId="0" applyFont="1" applyBorder="1" applyAlignment="1">
      <alignment horizontal="center" wrapText="1"/>
    </xf>
    <xf numFmtId="0" fontId="1" fillId="0" borderId="26" xfId="0" applyFont="1" applyBorder="1" applyAlignment="1">
      <alignment horizontal="right"/>
    </xf>
    <xf numFmtId="0" fontId="0" fillId="9" borderId="24" xfId="0" applyFill="1" applyBorder="1"/>
    <xf numFmtId="9" fontId="0" fillId="9" borderId="24" xfId="3" applyFont="1" applyFill="1" applyBorder="1"/>
    <xf numFmtId="0" fontId="1" fillId="2" borderId="25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right"/>
    </xf>
    <xf numFmtId="0" fontId="0" fillId="2" borderId="0" xfId="0" applyFill="1"/>
    <xf numFmtId="0" fontId="0" fillId="2" borderId="24" xfId="0" applyFill="1" applyBorder="1"/>
    <xf numFmtId="9" fontId="0" fillId="2" borderId="0" xfId="3" applyFont="1" applyFill="1"/>
    <xf numFmtId="0" fontId="0" fillId="10" borderId="0" xfId="0" applyFill="1" applyBorder="1"/>
    <xf numFmtId="14" fontId="0" fillId="10" borderId="0" xfId="0" applyNumberFormat="1" applyFill="1" applyBorder="1"/>
    <xf numFmtId="0" fontId="0" fillId="11" borderId="0" xfId="0" applyFill="1"/>
    <xf numFmtId="49" fontId="4" fillId="0" borderId="19" xfId="0" applyNumberFormat="1" applyFont="1" applyFill="1" applyBorder="1" applyAlignment="1">
      <alignment horizontal="center" wrapText="1"/>
    </xf>
    <xf numFmtId="49" fontId="4" fillId="0" borderId="17" xfId="0" applyNumberFormat="1" applyFont="1" applyFill="1" applyBorder="1" applyAlignment="1">
      <alignment horizontal="center" wrapText="1"/>
    </xf>
    <xf numFmtId="49" fontId="4" fillId="0" borderId="19" xfId="0" applyNumberFormat="1" applyFont="1" applyFill="1" applyBorder="1" applyAlignment="1">
      <alignment horizontal="right" textRotation="180" wrapText="1"/>
    </xf>
    <xf numFmtId="49" fontId="4" fillId="0" borderId="17" xfId="0" applyNumberFormat="1" applyFont="1" applyFill="1" applyBorder="1" applyAlignment="1">
      <alignment horizontal="right" textRotation="180" wrapText="1"/>
    </xf>
    <xf numFmtId="0" fontId="4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0" borderId="8" xfId="0" applyFont="1" applyBorder="1"/>
    <xf numFmtId="0" fontId="0" fillId="0" borderId="31" xfId="0" applyFont="1" applyBorder="1"/>
    <xf numFmtId="0" fontId="0" fillId="0" borderId="30" xfId="0" applyFont="1" applyBorder="1"/>
    <xf numFmtId="14" fontId="11" fillId="0" borderId="0" xfId="0" applyNumberFormat="1" applyFont="1" applyFill="1" applyAlignment="1" applyProtection="1">
      <alignment horizontal="center"/>
    </xf>
    <xf numFmtId="0" fontId="3" fillId="0" borderId="27" xfId="0" applyFont="1" applyFill="1" applyBorder="1" applyAlignment="1">
      <alignment horizontal="center"/>
    </xf>
    <xf numFmtId="0" fontId="1" fillId="0" borderId="0" xfId="0" applyFont="1" applyBorder="1"/>
    <xf numFmtId="0" fontId="0" fillId="0" borderId="29" xfId="0" applyFont="1" applyFill="1" applyBorder="1"/>
    <xf numFmtId="0" fontId="0" fillId="0" borderId="0" xfId="0" applyFont="1" applyFill="1"/>
    <xf numFmtId="0" fontId="0" fillId="0" borderId="28" xfId="0" applyFont="1" applyFill="1" applyBorder="1"/>
    <xf numFmtId="0" fontId="4" fillId="0" borderId="6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</cellXfs>
  <cellStyles count="4">
    <cellStyle name="Label" xfId="2"/>
    <cellStyle name="Normal" xfId="0" builtinId="0"/>
    <cellStyle name="Percent" xfId="3" builtinId="5"/>
    <cellStyle name="Period Highlight Control" xfId="1"/>
  </cellStyles>
  <dxfs count="71">
    <dxf>
      <numFmt numFmtId="0" formatCode="General"/>
    </dxf>
    <dxf>
      <border outline="0">
        <bottom style="thin">
          <color indexed="64"/>
        </bottom>
      </border>
    </dxf>
    <dxf>
      <border outline="0">
        <bottom style="medium">
          <color indexed="64"/>
        </bottom>
      </border>
    </dxf>
    <dxf>
      <fill>
        <patternFill>
          <bgColor theme="7" tint="0.79998168889431442"/>
        </patternFill>
      </fill>
    </dxf>
    <dxf>
      <fill>
        <patternFill>
          <bgColor rgb="FFF7DEB9"/>
        </patternFill>
      </fill>
    </dxf>
    <dxf>
      <fill>
        <patternFill patternType="lightUp">
          <fgColor rgb="FF735773"/>
          <bgColor rgb="FFFFFFFF"/>
        </patternFill>
      </fill>
    </dxf>
    <dxf>
      <fill>
        <patternFill patternType="lightUp">
          <fgColor rgb="FF735773"/>
          <bgColor rgb="FFE0DEB9"/>
        </patternFill>
      </fill>
    </dxf>
    <dxf>
      <fill>
        <patternFill patternType="lightUp">
          <fgColor rgb="FF735773"/>
          <bgColor rgb="FFCAB9CA"/>
        </patternFill>
      </fill>
    </dxf>
    <dxf>
      <fill>
        <patternFill>
          <bgColor rgb="FFE9AB51"/>
        </patternFill>
      </fill>
    </dxf>
    <dxf>
      <fill>
        <patternFill>
          <bgColor rgb="FF73577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auto="1"/>
          <bgColor auto="1"/>
        </patternFill>
      </fill>
    </dxf>
    <dxf>
      <border outline="0">
        <top style="thin">
          <color theme="1"/>
        </top>
      </border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thin">
          <color auto="1"/>
        </left>
        <right style="thin">
          <color auto="1"/>
        </right>
        <bottom style="double">
          <color auto="1"/>
        </bottom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1" defaultTableStyle="TableStyleMedium2" defaultPivotStyle="PivotStyleLight16">
    <tableStyle name="Table Style 1" pivot="0" count="0"/>
  </tableStyles>
  <colors>
    <mruColors>
      <color rgb="FFFFFFFF"/>
      <color rgb="FFD9D9D9"/>
      <color rgb="FFF7DEB9"/>
      <color rgb="FF735773"/>
      <color rgb="FFE0DEB9"/>
      <color rgb="FFCAB9CA"/>
      <color rgb="FFE9AB51"/>
      <color rgb="FF3366CC"/>
      <color rgb="FFE0E0E0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strRef>
              <c:f>'Burndown Chart'!$P$1</c:f>
              <c:strCache>
                <c:ptCount val="1"/>
                <c:pt idx="0">
                  <c:v>To Do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'Burndown Chart'!$O$2:$O$12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'Burndown Chart'!$P$2:$P$12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AC-46EC-8949-759E0F689E19}"/>
            </c:ext>
          </c:extLst>
        </c:ser>
        <c:ser>
          <c:idx val="2"/>
          <c:order val="1"/>
          <c:tx>
            <c:strRef>
              <c:f>'Burndown Chart'!$Q$1</c:f>
              <c:strCache>
                <c:ptCount val="1"/>
                <c:pt idx="0">
                  <c:v>In Progress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'Burndown Chart'!$O$2:$O$12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'Burndown Chart'!$Q$2:$Q$12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AC-46EC-8949-759E0F689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289016"/>
        <c:axId val="800287376"/>
      </c:areaChart>
      <c:lineChart>
        <c:grouping val="standard"/>
        <c:varyColors val="0"/>
        <c:ser>
          <c:idx val="3"/>
          <c:order val="2"/>
          <c:tx>
            <c:strRef>
              <c:f>'Burndown Chart'!$R$1</c:f>
              <c:strCache>
                <c:ptCount val="1"/>
                <c:pt idx="0">
                  <c:v>Optimal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'Burndown Chart'!$R$2:$R$12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AC-46EC-8949-759E0F689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289016"/>
        <c:axId val="800287376"/>
      </c:lineChart>
      <c:catAx>
        <c:axId val="800289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287376"/>
        <c:crosses val="autoZero"/>
        <c:auto val="1"/>
        <c:lblAlgn val="ctr"/>
        <c:lblOffset val="100"/>
        <c:noMultiLvlLbl val="0"/>
      </c:catAx>
      <c:valAx>
        <c:axId val="80028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289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16" fmlaLink="period_selected" max="60" min="1" page="1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1722120</xdr:colOff>
          <xdr:row>0</xdr:row>
          <xdr:rowOff>0</xdr:rowOff>
        </xdr:from>
        <xdr:to>
          <xdr:col>4</xdr:col>
          <xdr:colOff>2491740</xdr:colOff>
          <xdr:row>0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1</xdr:row>
      <xdr:rowOff>60960</xdr:rowOff>
    </xdr:from>
    <xdr:to>
      <xdr:col>11</xdr:col>
      <xdr:colOff>477520</xdr:colOff>
      <xdr:row>24</xdr:row>
      <xdr:rowOff>22860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68580</xdr:colOff>
          <xdr:row>0</xdr:row>
          <xdr:rowOff>30480</xdr:rowOff>
        </xdr:from>
        <xdr:to>
          <xdr:col>18</xdr:col>
          <xdr:colOff>190500</xdr:colOff>
          <xdr:row>0</xdr:row>
          <xdr:rowOff>259080</xdr:rowOff>
        </xdr:to>
        <xdr:sp macro="" textlink="">
          <xdr:nvSpPr>
            <xdr:cNvPr id="4097" name="Spinner 1" descr="Period Highlight Spin Control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le4" displayName="Table4" ref="A4:AX69" totalsRowShown="0" tableBorderDxfId="68">
  <autoFilter ref="A4:AX69"/>
  <tableColumns count="50">
    <tableColumn id="1" name="SprintID" dataDxfId="67"/>
    <tableColumn id="2" name="Story ID" dataDxfId="66"/>
    <tableColumn id="3" name="Story" dataDxfId="65"/>
    <tableColumn id="50" name="Column1" dataDxfId="64"/>
    <tableColumn id="4" name="Tasks" dataDxfId="63"/>
    <tableColumn id="5" name="Resource" dataDxfId="62"/>
    <tableColumn id="6" name="Initial" dataDxfId="61"/>
    <tableColumn id="7" name="Spent" dataDxfId="60"/>
    <tableColumn id="8" name="Left" dataDxfId="59"/>
    <tableColumn id="9" name="Spent2" dataDxfId="58"/>
    <tableColumn id="10" name="Left3" dataDxfId="57"/>
    <tableColumn id="11" name="Spent4" dataDxfId="56"/>
    <tableColumn id="12" name="Left5" dataDxfId="55"/>
    <tableColumn id="13" name="Spent3" dataDxfId="54"/>
    <tableColumn id="14" name="Left7" dataDxfId="53"/>
    <tableColumn id="15" name="Spent8" dataDxfId="52"/>
    <tableColumn id="16" name="Left9" dataDxfId="51"/>
    <tableColumn id="17" name="Spent10" dataDxfId="50"/>
    <tableColumn id="18" name="Left11" dataDxfId="49"/>
    <tableColumn id="19" name="Spent12" dataDxfId="48"/>
    <tableColumn id="20" name="Left13" dataDxfId="47"/>
    <tableColumn id="21" name="Spent14" dataDxfId="46"/>
    <tableColumn id="22" name="Left15" dataDxfId="45"/>
    <tableColumn id="23" name="Spent16" dataDxfId="44"/>
    <tableColumn id="24" name="Left17" dataDxfId="43"/>
    <tableColumn id="25" name="Spent18" dataDxfId="42"/>
    <tableColumn id="26" name="Left19" dataDxfId="41"/>
    <tableColumn id="27" name="Balance" dataDxfId="40"/>
    <tableColumn id="28" name="Exp Var" dataDxfId="39"/>
    <tableColumn id="29" name="In Prog" dataDxfId="38"/>
    <tableColumn id="30" name="To Do" dataDxfId="37"/>
    <tableColumn id="31" name="In Prog20" dataDxfId="36"/>
    <tableColumn id="32" name="To Do21" dataDxfId="35"/>
    <tableColumn id="33" name="In Prog22" dataDxfId="34"/>
    <tableColumn id="34" name="To Do23" dataDxfId="33"/>
    <tableColumn id="35" name="In Prog24" dataDxfId="32"/>
    <tableColumn id="36" name="To Do25" dataDxfId="31"/>
    <tableColumn id="37" name="In Prog26" dataDxfId="30"/>
    <tableColumn id="38" name="To Do27" dataDxfId="29"/>
    <tableColumn id="39" name="In Prog28" dataDxfId="28"/>
    <tableColumn id="40" name="To Do29" dataDxfId="27"/>
    <tableColumn id="41" name="In Prog30" dataDxfId="26"/>
    <tableColumn id="42" name="To Do31" dataDxfId="25"/>
    <tableColumn id="43" name="In Prog32" dataDxfId="24"/>
    <tableColumn id="44" name="To Do33" dataDxfId="23"/>
    <tableColumn id="45" name="In Prog34" dataDxfId="22"/>
    <tableColumn id="46" name="To Do35" dataDxfId="21"/>
    <tableColumn id="47" name="In Prog36" dataDxfId="20"/>
    <tableColumn id="48" name="To Do37" dataDxfId="19"/>
    <tableColumn id="49" name="Left38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F35" totalsRowShown="0" dataDxfId="17" tableBorderDxfId="16" headerRowCellStyle="Label" dataCellStyle="Label">
  <tableColumns count="6">
    <tableColumn id="1" name="TaskID" dataDxfId="15"/>
    <tableColumn id="2" name="StoryID" dataDxfId="14">
      <calculatedColumnFormula>_xlfn.IFNA(INDEX(StoryID,MATCH(C2,Story,0)),"")</calculatedColumnFormula>
    </tableColumn>
    <tableColumn id="3" name="Story" dataDxfId="13"/>
    <tableColumn id="4" name="Task" dataDxfId="12"/>
    <tableColumn id="5" name="Description" dataDxfId="11"/>
    <tableColumn id="6" name="Status" dataDxfId="1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C62" totalsRowShown="0">
  <tableColumns count="3">
    <tableColumn id="1" name="Sprint ID"/>
    <tableColumn id="2" name="Start Date"/>
    <tableColumn id="3" name="End Date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2" name="Table2" displayName="Table2" ref="A1:B19" totalsRowShown="0" headerRowBorderDxfId="2" tableBorderDxfId="1">
  <tableColumns count="2">
    <tableColumn id="1" name="Resource"/>
    <tableColumn id="2" name="Est Hours" dataDxfId="0">
      <calculatedColumnFormula>SUMIFS(TaskEst,ResourceUsed,Resources!A2,SprintID,SprintInput)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72"/>
  <sheetViews>
    <sheetView tabSelected="1" workbookViewId="0">
      <pane ySplit="4" topLeftCell="A5" activePane="bottomLeft" state="frozen"/>
      <selection activeCell="A2" sqref="A2"/>
      <selection pane="bottomLeft" activeCell="AA23" sqref="AA23"/>
    </sheetView>
  </sheetViews>
  <sheetFormatPr defaultRowHeight="14.4" x14ac:dyDescent="0.3"/>
  <cols>
    <col min="1" max="1" width="9.6640625" customWidth="1"/>
    <col min="2" max="2" width="9.5546875" customWidth="1"/>
    <col min="3" max="3" width="30.77734375" style="1" customWidth="1"/>
    <col min="4" max="4" width="11.33203125" style="1" customWidth="1"/>
    <col min="5" max="5" width="36.77734375" style="1" bestFit="1" customWidth="1"/>
    <col min="6" max="6" width="10.5546875" style="1" customWidth="1"/>
    <col min="7" max="7" width="7.5546875" style="1" customWidth="1"/>
    <col min="8" max="9" width="4" style="1" customWidth="1"/>
    <col min="10" max="11" width="4" style="2" customWidth="1"/>
    <col min="12" max="27" width="4" style="1" customWidth="1"/>
    <col min="28" max="28" width="4" style="1" bestFit="1" customWidth="1"/>
    <col min="29" max="29" width="4" bestFit="1" customWidth="1"/>
    <col min="30" max="30" width="6.6640625" style="1" hidden="1" customWidth="1"/>
    <col min="31" max="31" width="4.77734375" style="1" hidden="1" customWidth="1"/>
    <col min="32" max="33" width="4.77734375" style="2" hidden="1" customWidth="1"/>
    <col min="34" max="49" width="4.77734375" style="1" hidden="1" customWidth="1"/>
    <col min="50" max="50" width="3.5546875" bestFit="1" customWidth="1"/>
    <col min="53" max="53" width="0" hidden="1" customWidth="1"/>
    <col min="56" max="56" width="8.88671875" customWidth="1"/>
  </cols>
  <sheetData>
    <row r="1" spans="1:53" x14ac:dyDescent="0.3">
      <c r="A1" s="19" t="s">
        <v>34</v>
      </c>
      <c r="B1" s="30" t="s">
        <v>84</v>
      </c>
      <c r="C1" s="35" t="str">
        <f ca="1">_xlfn.IFNA(INDEX(SprintDate,MATCH(B1,Sprints,0)),"")</f>
        <v>All Sprints</v>
      </c>
      <c r="D1" s="84" t="s">
        <v>133</v>
      </c>
      <c r="E1" s="3"/>
      <c r="F1" s="66"/>
      <c r="BA1" s="19" t="s">
        <v>34</v>
      </c>
    </row>
    <row r="2" spans="1:53" x14ac:dyDescent="0.3">
      <c r="A2" s="77" t="str">
        <f>SprintInput</f>
        <v>All</v>
      </c>
      <c r="B2" s="76"/>
      <c r="C2" s="79"/>
      <c r="D2" s="85">
        <f>FindTaskCell</f>
        <v>0</v>
      </c>
      <c r="E2" s="80"/>
      <c r="F2" s="90"/>
      <c r="G2" s="91"/>
      <c r="H2" s="90" t="s">
        <v>5</v>
      </c>
      <c r="I2" s="91"/>
      <c r="J2" s="90" t="s">
        <v>6</v>
      </c>
      <c r="K2" s="91"/>
      <c r="L2" s="90" t="s">
        <v>7</v>
      </c>
      <c r="M2" s="91"/>
      <c r="N2" s="90" t="s">
        <v>8</v>
      </c>
      <c r="O2" s="91"/>
      <c r="P2" s="90" t="s">
        <v>9</v>
      </c>
      <c r="Q2" s="91"/>
      <c r="R2" s="90" t="s">
        <v>10</v>
      </c>
      <c r="S2" s="91"/>
      <c r="T2" s="90" t="s">
        <v>11</v>
      </c>
      <c r="U2" s="91"/>
      <c r="V2" s="90" t="s">
        <v>12</v>
      </c>
      <c r="W2" s="91"/>
      <c r="X2" s="90" t="s">
        <v>13</v>
      </c>
      <c r="Y2" s="91"/>
      <c r="Z2" s="90" t="s">
        <v>14</v>
      </c>
      <c r="AA2" s="91"/>
      <c r="AB2" s="90"/>
      <c r="AC2" s="91"/>
      <c r="AD2" s="90">
        <v>1</v>
      </c>
      <c r="AE2" s="91">
        <v>1</v>
      </c>
      <c r="AF2" s="90">
        <v>2</v>
      </c>
      <c r="AG2" s="91">
        <v>2</v>
      </c>
      <c r="AH2" s="90">
        <v>3</v>
      </c>
      <c r="AI2" s="91">
        <v>3</v>
      </c>
      <c r="AJ2" s="90">
        <v>4</v>
      </c>
      <c r="AK2" s="91">
        <v>4</v>
      </c>
      <c r="AL2" s="90">
        <v>5</v>
      </c>
      <c r="AM2" s="91">
        <v>5</v>
      </c>
      <c r="AN2" s="90">
        <v>6</v>
      </c>
      <c r="AO2" s="91">
        <v>6</v>
      </c>
      <c r="AP2" s="90">
        <v>7</v>
      </c>
      <c r="AQ2" s="91">
        <v>7</v>
      </c>
      <c r="AR2" s="90">
        <v>8</v>
      </c>
      <c r="AS2" s="91">
        <v>8</v>
      </c>
      <c r="AT2" s="90">
        <v>9</v>
      </c>
      <c r="AU2" s="91">
        <v>9</v>
      </c>
      <c r="AV2" s="90">
        <v>10</v>
      </c>
      <c r="AW2" s="91">
        <v>10</v>
      </c>
      <c r="AX2" s="78"/>
    </row>
    <row r="3" spans="1:53" ht="41.4" thickBot="1" x14ac:dyDescent="0.35">
      <c r="A3" s="72" t="s">
        <v>34</v>
      </c>
      <c r="B3" s="73" t="s">
        <v>22</v>
      </c>
      <c r="C3" s="73" t="s">
        <v>0</v>
      </c>
      <c r="D3" s="73" t="s">
        <v>133</v>
      </c>
      <c r="E3" s="73" t="s">
        <v>1</v>
      </c>
      <c r="F3" s="73" t="s">
        <v>18</v>
      </c>
      <c r="G3" s="74" t="s">
        <v>2</v>
      </c>
      <c r="H3" s="75" t="s">
        <v>3</v>
      </c>
      <c r="I3" s="75" t="s">
        <v>4</v>
      </c>
      <c r="J3" s="75" t="s">
        <v>3</v>
      </c>
      <c r="K3" s="75" t="s">
        <v>4</v>
      </c>
      <c r="L3" s="75" t="s">
        <v>3</v>
      </c>
      <c r="M3" s="75" t="s">
        <v>4</v>
      </c>
      <c r="N3" s="75" t="s">
        <v>3</v>
      </c>
      <c r="O3" s="75" t="s">
        <v>4</v>
      </c>
      <c r="P3" s="75" t="s">
        <v>3</v>
      </c>
      <c r="Q3" s="75" t="s">
        <v>4</v>
      </c>
      <c r="R3" s="75" t="s">
        <v>3</v>
      </c>
      <c r="S3" s="75" t="s">
        <v>4</v>
      </c>
      <c r="T3" s="75" t="s">
        <v>3</v>
      </c>
      <c r="U3" s="75" t="s">
        <v>4</v>
      </c>
      <c r="V3" s="75" t="s">
        <v>3</v>
      </c>
      <c r="W3" s="75" t="s">
        <v>4</v>
      </c>
      <c r="X3" s="75" t="s">
        <v>3</v>
      </c>
      <c r="Y3" s="75" t="s">
        <v>4</v>
      </c>
      <c r="Z3" s="75" t="s">
        <v>3</v>
      </c>
      <c r="AA3" s="75" t="s">
        <v>4</v>
      </c>
      <c r="AB3" s="75" t="s">
        <v>16</v>
      </c>
      <c r="AC3" s="74" t="s">
        <v>17</v>
      </c>
      <c r="AD3" s="75" t="s">
        <v>26</v>
      </c>
      <c r="AE3" s="75" t="s">
        <v>27</v>
      </c>
      <c r="AF3" s="75" t="s">
        <v>26</v>
      </c>
      <c r="AG3" s="75" t="s">
        <v>27</v>
      </c>
      <c r="AH3" s="75" t="s">
        <v>26</v>
      </c>
      <c r="AI3" s="75" t="s">
        <v>27</v>
      </c>
      <c r="AJ3" s="75" t="s">
        <v>26</v>
      </c>
      <c r="AK3" s="75" t="s">
        <v>27</v>
      </c>
      <c r="AL3" s="75" t="s">
        <v>26</v>
      </c>
      <c r="AM3" s="75" t="s">
        <v>27</v>
      </c>
      <c r="AN3" s="75" t="s">
        <v>26</v>
      </c>
      <c r="AO3" s="75" t="s">
        <v>27</v>
      </c>
      <c r="AP3" s="75" t="s">
        <v>26</v>
      </c>
      <c r="AQ3" s="75" t="s">
        <v>27</v>
      </c>
      <c r="AR3" s="75" t="s">
        <v>26</v>
      </c>
      <c r="AS3" s="75" t="s">
        <v>27</v>
      </c>
      <c r="AT3" s="75" t="s">
        <v>26</v>
      </c>
      <c r="AU3" s="75" t="s">
        <v>27</v>
      </c>
      <c r="AV3" s="75" t="s">
        <v>26</v>
      </c>
      <c r="AW3" s="75" t="s">
        <v>27</v>
      </c>
      <c r="AX3" s="74" t="s">
        <v>4</v>
      </c>
    </row>
    <row r="4" spans="1:53" ht="43.2" hidden="1" customHeight="1" thickTop="1" thickBot="1" x14ac:dyDescent="0.35">
      <c r="A4" s="21" t="s">
        <v>34</v>
      </c>
      <c r="B4" s="8" t="s">
        <v>22</v>
      </c>
      <c r="C4" s="8" t="s">
        <v>0</v>
      </c>
      <c r="D4" s="8" t="s">
        <v>132</v>
      </c>
      <c r="E4" s="8" t="s">
        <v>1</v>
      </c>
      <c r="F4" s="8" t="s">
        <v>18</v>
      </c>
      <c r="G4" s="25" t="s">
        <v>2</v>
      </c>
      <c r="H4" s="26" t="s">
        <v>3</v>
      </c>
      <c r="I4" s="26" t="s">
        <v>4</v>
      </c>
      <c r="J4" s="26" t="s">
        <v>35</v>
      </c>
      <c r="K4" s="26" t="s">
        <v>36</v>
      </c>
      <c r="L4" s="26" t="s">
        <v>37</v>
      </c>
      <c r="M4" s="26" t="s">
        <v>38</v>
      </c>
      <c r="N4" s="26" t="s">
        <v>71</v>
      </c>
      <c r="O4" s="26" t="s">
        <v>39</v>
      </c>
      <c r="P4" s="26" t="s">
        <v>40</v>
      </c>
      <c r="Q4" s="26" t="s">
        <v>41</v>
      </c>
      <c r="R4" s="26" t="s">
        <v>42</v>
      </c>
      <c r="S4" s="26" t="s">
        <v>43</v>
      </c>
      <c r="T4" s="26" t="s">
        <v>44</v>
      </c>
      <c r="U4" s="26" t="s">
        <v>45</v>
      </c>
      <c r="V4" s="26" t="s">
        <v>46</v>
      </c>
      <c r="W4" s="26" t="s">
        <v>47</v>
      </c>
      <c r="X4" s="26" t="s">
        <v>48</v>
      </c>
      <c r="Y4" s="26" t="s">
        <v>49</v>
      </c>
      <c r="Z4" s="26" t="s">
        <v>50</v>
      </c>
      <c r="AA4" s="26" t="s">
        <v>51</v>
      </c>
      <c r="AB4" s="7" t="s">
        <v>16</v>
      </c>
      <c r="AC4" s="9" t="s">
        <v>17</v>
      </c>
      <c r="AD4" s="26" t="s">
        <v>26</v>
      </c>
      <c r="AE4" s="27" t="s">
        <v>27</v>
      </c>
      <c r="AF4" s="26" t="s">
        <v>52</v>
      </c>
      <c r="AG4" s="27" t="s">
        <v>53</v>
      </c>
      <c r="AH4" s="26" t="s">
        <v>54</v>
      </c>
      <c r="AI4" s="27" t="s">
        <v>55</v>
      </c>
      <c r="AJ4" s="26" t="s">
        <v>56</v>
      </c>
      <c r="AK4" s="27" t="s">
        <v>57</v>
      </c>
      <c r="AL4" s="26" t="s">
        <v>58</v>
      </c>
      <c r="AM4" s="27" t="s">
        <v>59</v>
      </c>
      <c r="AN4" s="26" t="s">
        <v>60</v>
      </c>
      <c r="AO4" s="27" t="s">
        <v>61</v>
      </c>
      <c r="AP4" s="26" t="s">
        <v>62</v>
      </c>
      <c r="AQ4" s="27" t="s">
        <v>63</v>
      </c>
      <c r="AR4" s="26" t="s">
        <v>64</v>
      </c>
      <c r="AS4" s="27" t="s">
        <v>65</v>
      </c>
      <c r="AT4" s="26" t="s">
        <v>66</v>
      </c>
      <c r="AU4" s="27" t="s">
        <v>67</v>
      </c>
      <c r="AV4" s="26" t="s">
        <v>68</v>
      </c>
      <c r="AW4" s="27" t="s">
        <v>69</v>
      </c>
      <c r="AX4" s="28" t="s">
        <v>70</v>
      </c>
    </row>
    <row r="5" spans="1:53" ht="14.4" customHeight="1" thickTop="1" x14ac:dyDescent="0.3">
      <c r="A5" s="33">
        <v>2</v>
      </c>
      <c r="B5" s="12">
        <f t="shared" ref="B5:B68" ca="1" si="0">_xlfn.IFNA(INDEX(StoryID,MATCH(C5,Story,0)),"")</f>
        <v>3</v>
      </c>
      <c r="C5" s="12" t="s">
        <v>108</v>
      </c>
      <c r="D5" s="82">
        <v>9</v>
      </c>
      <c r="E5" s="83" t="str">
        <f t="shared" ref="E5:E34" ca="1" si="1">_xlfn.IFNA(INDEX(TaskNames,MATCH(D5,TaskList,0)),"")</f>
        <v>Task 5</v>
      </c>
      <c r="F5" s="12" t="s">
        <v>19</v>
      </c>
      <c r="G5" s="12">
        <v>36</v>
      </c>
      <c r="H5" s="12">
        <v>8</v>
      </c>
      <c r="I5" s="13">
        <v>28</v>
      </c>
      <c r="J5" s="12">
        <v>8</v>
      </c>
      <c r="K5" s="12">
        <v>20</v>
      </c>
      <c r="L5" s="12">
        <v>8</v>
      </c>
      <c r="M5" s="12">
        <v>16</v>
      </c>
      <c r="N5" s="12">
        <v>8</v>
      </c>
      <c r="O5" s="12">
        <v>4</v>
      </c>
      <c r="P5" s="12">
        <v>8</v>
      </c>
      <c r="Q5" s="12">
        <v>8</v>
      </c>
      <c r="R5" s="12">
        <v>8</v>
      </c>
      <c r="S5" s="12">
        <v>2</v>
      </c>
      <c r="T5" s="12">
        <v>2</v>
      </c>
      <c r="U5" s="12">
        <v>3</v>
      </c>
      <c r="V5" s="12">
        <v>2</v>
      </c>
      <c r="W5" s="12">
        <v>2</v>
      </c>
      <c r="X5" s="12">
        <v>2</v>
      </c>
      <c r="Y5" s="12">
        <v>0</v>
      </c>
      <c r="Z5" s="12"/>
      <c r="AA5" s="12"/>
      <c r="AB5" s="31">
        <f>G5-SUMIF($H$3:$AA$3,H$3,Sprint!$H5:$AA5)</f>
        <v>-18</v>
      </c>
      <c r="AC5" s="16">
        <f ca="1">_xlfn.IFNA(IF(INDIRECT(ADDRESS(3,LOOKUP(2,1/(H5:AA5&lt;&gt;""),COLUMN(H3:AA3))))="Left",AB5-INDIRECT(ADDRESS(ROW(H5),LOOKUP(2,1/(H5:AA5&lt;&gt;""),COLUMN(H5:AA5)))),AB5),"")</f>
        <v>-18</v>
      </c>
      <c r="AD5" s="36">
        <f>IF(SUMIF($H$3:H$3,H$3,Sprint!$H5:H5)&gt;0,I5,0)</f>
        <v>28</v>
      </c>
      <c r="AE5" s="37">
        <f>IF(SUMIF($H$3:H$3,H$3,Sprint!$H5:H5)=0,$G5,0)</f>
        <v>0</v>
      </c>
      <c r="AF5" s="36">
        <f>IF(SUMIF($H$3:J$3,J$3,Sprint!$H5:J5)&gt;0,K5,0)</f>
        <v>20</v>
      </c>
      <c r="AG5" s="37">
        <f>IF(SUMIF($H$3:J$3,J$3,Sprint!$H5:J5)=0,$G5,0)</f>
        <v>0</v>
      </c>
      <c r="AH5" s="36">
        <f>IF(SUMIF($H$3:L$3,L$3,Sprint!$H5:L5)&gt;0,M5,0)</f>
        <v>16</v>
      </c>
      <c r="AI5" s="37">
        <f>IF(SUMIF($H$3:L$3,L$3,Sprint!$H5:L5)=0,$G5,0)</f>
        <v>0</v>
      </c>
      <c r="AJ5" s="36">
        <f>IF(SUMIF($H$3:N$3,N$3,Sprint!$H5:N5)&gt;0,O5,0)</f>
        <v>4</v>
      </c>
      <c r="AK5" s="37">
        <f>IF(SUMIF($H$3:N$3,N$3,Sprint!$H5:N5)=0,$G5,0)</f>
        <v>0</v>
      </c>
      <c r="AL5" s="36">
        <f>IF(SUMIF($H$3:P$3,P$3,Sprint!$H5:P5)&gt;0,Q5,0)</f>
        <v>8</v>
      </c>
      <c r="AM5" s="37">
        <f>IF(SUMIF($H$3:P$3,P$3,Sprint!$H5:P5)=0,$G5,0)</f>
        <v>0</v>
      </c>
      <c r="AN5" s="36">
        <f>IF(SUMIF($H$3:R$3,R$3,Sprint!$H5:R5)&gt;0,S5,0)</f>
        <v>2</v>
      </c>
      <c r="AO5" s="37">
        <f>IF(SUMIF($H$3:R$3,R$3,Sprint!$H5:R5)=0,$G5,0)</f>
        <v>0</v>
      </c>
      <c r="AP5" s="36">
        <f>IF(SUMIF($H$3:T$3,T$3,Sprint!$H5:T5)&gt;0,U5,0)</f>
        <v>3</v>
      </c>
      <c r="AQ5" s="37">
        <f>IF(SUMIF($H$3:T$3,T$3,Sprint!$H5:T5)=0,$G5,0)</f>
        <v>0</v>
      </c>
      <c r="AR5" s="36">
        <f>IF(SUMIF($H$3:V$3,V$3,Sprint!$H5:V5)&gt;0,W5,0)</f>
        <v>2</v>
      </c>
      <c r="AS5" s="37">
        <f>IF(SUMIF($H$3:V$3,V$3,Sprint!$H5:V5)=0,$G5,0)</f>
        <v>0</v>
      </c>
      <c r="AT5" s="36">
        <f>IF(SUMIF($H$3:X$3,X$3,Sprint!$H5:X5)&gt;0,Y5,0)</f>
        <v>0</v>
      </c>
      <c r="AU5" s="37">
        <f>IF(SUMIF($H$3:X$3,X$3,Sprint!$H5:X5)=0,$G5,0)</f>
        <v>0</v>
      </c>
      <c r="AV5" s="36">
        <f>IF(SUMIF($H$3:Z$3,Z$3,Sprint!$H5:Z5)&gt;0,AA5,0)</f>
        <v>0</v>
      </c>
      <c r="AW5" s="38">
        <f>IF(SUMIF($H$3:Z$3,Z$3,Sprint!$H5:Z5)=0,$G5,0)</f>
        <v>0</v>
      </c>
      <c r="AX5" s="20">
        <f t="shared" ref="AX5:AX68" ca="1" si="2">IF(COUNTA($H5:$AA5)&gt;0,_xlfn.IFNA(INDIRECT(ADDRESS(ROW($H5),LOOKUP(2,1/($H5:$AA5&lt;&gt;""),COLUMN($H5:$AA5)))),""),$G5)</f>
        <v>0</v>
      </c>
    </row>
    <row r="6" spans="1:53" x14ac:dyDescent="0.3">
      <c r="A6" s="34">
        <v>2</v>
      </c>
      <c r="B6" s="14">
        <f t="shared" ca="1" si="0"/>
        <v>3</v>
      </c>
      <c r="C6" s="14" t="s">
        <v>108</v>
      </c>
      <c r="D6" s="81">
        <v>2</v>
      </c>
      <c r="E6" s="81" t="str">
        <f t="shared" ca="1" si="1"/>
        <v>Task 10</v>
      </c>
      <c r="F6" s="14" t="s">
        <v>19</v>
      </c>
      <c r="G6" s="14">
        <v>48</v>
      </c>
      <c r="H6" s="14"/>
      <c r="I6" s="15"/>
      <c r="J6" s="14"/>
      <c r="K6" s="14"/>
      <c r="L6" s="14"/>
      <c r="M6" s="14"/>
      <c r="N6" s="14"/>
      <c r="O6" s="14"/>
      <c r="P6" s="14"/>
      <c r="Q6" s="14"/>
      <c r="R6" s="14"/>
      <c r="S6" s="14"/>
      <c r="T6" s="14">
        <v>6</v>
      </c>
      <c r="U6" s="14">
        <v>42</v>
      </c>
      <c r="V6" s="14">
        <v>8</v>
      </c>
      <c r="W6" s="14">
        <v>36</v>
      </c>
      <c r="X6" s="14"/>
      <c r="Y6" s="14">
        <v>8</v>
      </c>
      <c r="Z6" s="14">
        <v>8</v>
      </c>
      <c r="AA6" s="14">
        <v>0</v>
      </c>
      <c r="AB6" s="32">
        <f>G6-SUMIF($H$3:$AA$3,H$3,Sprint!$H6:$AA6)</f>
        <v>26</v>
      </c>
      <c r="AC6" s="17">
        <f t="shared" ref="AC6:AC12" ca="1" si="3">_xlfn.IFNA(IF(INDIRECT(ADDRESS(3,LOOKUP(2,1/(H6:AA6&lt;&gt;""),COLUMN(H6:AA6))))="Left",AB6-INDIRECT(ADDRESS(ROW(H6),LOOKUP(2,1/(H6:AA6&lt;&gt;""),COLUMN(H6:AA6)))),AB6),"")</f>
        <v>26</v>
      </c>
      <c r="AD6" s="36">
        <f>IF(SUMIF($H$3:H$3,H$3,Sprint!$H6:H6)&gt;0,I6,0)</f>
        <v>0</v>
      </c>
      <c r="AE6" s="37">
        <f>IF(SUMIF($H$3:H$3,H$3,Sprint!$H6:H6)=0,$G6,0)</f>
        <v>48</v>
      </c>
      <c r="AF6" s="36">
        <f>IF(SUMIF($H$3:J$3,J$3,Sprint!$H6:J6)&gt;0,K6,0)</f>
        <v>0</v>
      </c>
      <c r="AG6" s="37">
        <f>IF(SUMIF($H$3:J$3,J$3,Sprint!$H6:J6)=0,$G6,0)</f>
        <v>48</v>
      </c>
      <c r="AH6" s="36">
        <f>IF(SUMIF($H$3:L$3,L$3,Sprint!$H6:L6)&gt;0,M6,0)</f>
        <v>0</v>
      </c>
      <c r="AI6" s="37">
        <f>IF(SUMIF($H$3:L$3,L$3,Sprint!$H6:L6)=0,$G6,0)</f>
        <v>48</v>
      </c>
      <c r="AJ6" s="36">
        <f>IF(SUMIF($H$3:N$3,N$3,Sprint!$H6:N6)&gt;0,O6,0)</f>
        <v>0</v>
      </c>
      <c r="AK6" s="37">
        <f>IF(SUMIF($H$3:N$3,N$3,Sprint!$H6:N6)=0,$G6,0)</f>
        <v>48</v>
      </c>
      <c r="AL6" s="36">
        <f>IF(SUMIF($H$3:P$3,P$3,Sprint!$H6:P6)&gt;0,Q6,0)</f>
        <v>0</v>
      </c>
      <c r="AM6" s="37">
        <f>IF(SUMIF($H$3:P$3,P$3,Sprint!$H6:P6)=0,$G6,0)</f>
        <v>48</v>
      </c>
      <c r="AN6" s="36">
        <f>IF(SUMIF($H$3:R$3,R$3,Sprint!$H6:R6)&gt;0,S6,0)</f>
        <v>0</v>
      </c>
      <c r="AO6" s="37">
        <f>IF(SUMIF($H$3:R$3,R$3,Sprint!$H6:R6)=0,$G6,0)</f>
        <v>48</v>
      </c>
      <c r="AP6" s="36">
        <f>IF(SUMIF($H$3:T$3,T$3,Sprint!$H6:T6)&gt;0,U6,0)</f>
        <v>42</v>
      </c>
      <c r="AQ6" s="37">
        <f>IF(SUMIF($H$3:T$3,T$3,Sprint!$H6:T6)=0,$G6,0)</f>
        <v>0</v>
      </c>
      <c r="AR6" s="36">
        <f>IF(SUMIF($H$3:V$3,V$3,Sprint!$H6:V6)&gt;0,W6,0)</f>
        <v>36</v>
      </c>
      <c r="AS6" s="37">
        <f>IF(SUMIF($H$3:V$3,V$3,Sprint!$H6:V6)=0,$G6,0)</f>
        <v>0</v>
      </c>
      <c r="AT6" s="36">
        <f>IF(SUMIF($H$3:X$3,X$3,Sprint!$H6:X6)&gt;0,Y6,0)</f>
        <v>8</v>
      </c>
      <c r="AU6" s="37">
        <f>IF(SUMIF($H$3:X$3,X$3,Sprint!$H6:X6)=0,$G6,0)</f>
        <v>0</v>
      </c>
      <c r="AV6" s="36">
        <f>IF(SUMIF($H$3:Z$3,Z$3,Sprint!$H6:Z6)&gt;0,AA6,0)</f>
        <v>0</v>
      </c>
      <c r="AW6" s="38">
        <f>IF(SUMIF($H$3:Z$3,Z$3,Sprint!$H6:Z6)=0,$G6,0)</f>
        <v>0</v>
      </c>
      <c r="AX6" s="20">
        <f t="shared" ca="1" si="2"/>
        <v>0</v>
      </c>
    </row>
    <row r="7" spans="1:53" x14ac:dyDescent="0.3">
      <c r="A7" s="34">
        <v>1</v>
      </c>
      <c r="B7" s="14">
        <f t="shared" ca="1" si="0"/>
        <v>2</v>
      </c>
      <c r="C7" s="14" t="s">
        <v>107</v>
      </c>
      <c r="D7" s="14">
        <v>11</v>
      </c>
      <c r="E7" s="14" t="str">
        <f t="shared" ca="1" si="1"/>
        <v>Task 6</v>
      </c>
      <c r="F7" s="14" t="s">
        <v>19</v>
      </c>
      <c r="G7" s="14">
        <v>20</v>
      </c>
      <c r="H7" s="14"/>
      <c r="I7" s="15"/>
      <c r="J7" s="14"/>
      <c r="K7" s="14"/>
      <c r="L7" s="14"/>
      <c r="M7" s="14"/>
      <c r="N7" s="14">
        <v>2</v>
      </c>
      <c r="O7" s="14"/>
      <c r="P7" s="14"/>
      <c r="Q7" s="14"/>
      <c r="R7" s="14"/>
      <c r="S7" s="14"/>
      <c r="T7" s="14"/>
      <c r="U7" s="14"/>
      <c r="V7" s="14"/>
      <c r="W7" s="14"/>
      <c r="X7" s="14">
        <v>8</v>
      </c>
      <c r="Y7" s="14">
        <v>12</v>
      </c>
      <c r="Z7" s="14">
        <v>8</v>
      </c>
      <c r="AA7" s="14">
        <v>8</v>
      </c>
      <c r="AB7" s="32">
        <f>G7-SUMIF($H$3:$AA$3,H$3,Sprint!$H7:$AA7)</f>
        <v>2</v>
      </c>
      <c r="AC7" s="17">
        <f t="shared" ca="1" si="3"/>
        <v>-6</v>
      </c>
      <c r="AD7" s="39">
        <f>IF(SUMIF($H$3:H$3,H$3,Sprint!$H7:H7)&gt;0,I7,0)</f>
        <v>0</v>
      </c>
      <c r="AE7" s="40">
        <f>IF(SUMIF($H$3:H$3,H$3,Sprint!$H7:H7)=0,$G7,0)</f>
        <v>20</v>
      </c>
      <c r="AF7" s="39">
        <f>IF(SUMIF($H$3:J$3,J$3,Sprint!$H7:J7)&gt;0,K7,0)</f>
        <v>0</v>
      </c>
      <c r="AG7" s="40">
        <f>IF(SUMIF($H$3:J$3,J$3,Sprint!$H7:J7)=0,$G7,0)</f>
        <v>20</v>
      </c>
      <c r="AH7" s="39">
        <f>IF(SUMIF($H$3:L$3,L$3,Sprint!$H7:L7)&gt;0,M7,0)</f>
        <v>0</v>
      </c>
      <c r="AI7" s="40">
        <f>IF(SUMIF($H$3:L$3,L$3,Sprint!$H7:L7)=0,$G7,0)</f>
        <v>20</v>
      </c>
      <c r="AJ7" s="39">
        <f>IF(SUMIF($H$3:N$3,N$3,Sprint!$H7:N7)&gt;0,O7,0)</f>
        <v>0</v>
      </c>
      <c r="AK7" s="40">
        <f>IF(SUMIF($H$3:N$3,N$3,Sprint!$H7:N7)=0,$G7,0)</f>
        <v>0</v>
      </c>
      <c r="AL7" s="39">
        <f>IF(SUMIF($H$3:P$3,P$3,Sprint!$H7:P7)&gt;0,Q7,0)</f>
        <v>0</v>
      </c>
      <c r="AM7" s="40">
        <f>IF(SUMIF($H$3:P$3,P$3,Sprint!$H7:P7)=0,$G7,0)</f>
        <v>0</v>
      </c>
      <c r="AN7" s="39">
        <f>IF(SUMIF($H$3:R$3,R$3,Sprint!$H7:R7)&gt;0,S7,0)</f>
        <v>0</v>
      </c>
      <c r="AO7" s="40">
        <f>IF(SUMIF($H$3:R$3,R$3,Sprint!$H7:R7)=0,$G7,0)</f>
        <v>0</v>
      </c>
      <c r="AP7" s="39">
        <f>IF(SUMIF($H$3:T$3,T$3,Sprint!$H7:T7)&gt;0,U7,0)</f>
        <v>0</v>
      </c>
      <c r="AQ7" s="40">
        <f>IF(SUMIF($H$3:T$3,T$3,Sprint!$H7:T7)=0,$G7,0)</f>
        <v>0</v>
      </c>
      <c r="AR7" s="39">
        <f>IF(SUMIF($H$3:V$3,V$3,Sprint!$H7:V7)&gt;0,W7,0)</f>
        <v>0</v>
      </c>
      <c r="AS7" s="40">
        <f>IF(SUMIF($H$3:V$3,V$3,Sprint!$H7:V7)=0,$G7,0)</f>
        <v>0</v>
      </c>
      <c r="AT7" s="39">
        <f>IF(SUMIF($H$3:X$3,X$3,Sprint!$H7:X7)&gt;0,Y7,0)</f>
        <v>12</v>
      </c>
      <c r="AU7" s="40">
        <f>IF(SUMIF($H$3:X$3,X$3,Sprint!$H7:X7)=0,$G7,0)</f>
        <v>0</v>
      </c>
      <c r="AV7" s="39">
        <f>IF(SUMIF($H$3:Z$3,Z$3,Sprint!$H7:Z7)&gt;0,AA7,0)</f>
        <v>8</v>
      </c>
      <c r="AW7" s="41">
        <f>IF(SUMIF($H$3:Z$3,Z$3,Sprint!$H7:Z7)=0,$G7,0)</f>
        <v>0</v>
      </c>
      <c r="AX7" s="20">
        <f t="shared" ca="1" si="2"/>
        <v>8</v>
      </c>
    </row>
    <row r="8" spans="1:53" x14ac:dyDescent="0.3">
      <c r="A8" s="34">
        <v>1</v>
      </c>
      <c r="B8" s="14">
        <f t="shared" ca="1" si="0"/>
        <v>2</v>
      </c>
      <c r="C8" s="14" t="s">
        <v>107</v>
      </c>
      <c r="D8" s="14">
        <v>13</v>
      </c>
      <c r="E8" s="14" t="str">
        <f t="shared" ca="1" si="1"/>
        <v>Task 7</v>
      </c>
      <c r="F8" s="14" t="s">
        <v>19</v>
      </c>
      <c r="G8" s="14">
        <v>40</v>
      </c>
      <c r="H8" s="14"/>
      <c r="I8" s="15"/>
      <c r="J8" s="14"/>
      <c r="K8" s="14"/>
      <c r="L8" s="14"/>
      <c r="M8" s="14"/>
      <c r="N8" s="14"/>
      <c r="O8" s="14"/>
      <c r="P8" s="14"/>
      <c r="Q8" s="14"/>
      <c r="R8" s="14">
        <v>8</v>
      </c>
      <c r="S8" s="15">
        <v>32</v>
      </c>
      <c r="T8" s="14">
        <v>8</v>
      </c>
      <c r="U8" s="14">
        <v>24</v>
      </c>
      <c r="V8" s="14">
        <v>8</v>
      </c>
      <c r="W8" s="14">
        <v>16</v>
      </c>
      <c r="X8" s="14">
        <v>8</v>
      </c>
      <c r="Y8" s="14">
        <v>8</v>
      </c>
      <c r="Z8" s="14">
        <v>8</v>
      </c>
      <c r="AA8" s="14">
        <v>0</v>
      </c>
      <c r="AB8" s="32">
        <f>G8-SUMIF($H$3:$AA$3,H$3,Sprint!$H8:$AA8)</f>
        <v>0</v>
      </c>
      <c r="AC8" s="17">
        <f t="shared" ca="1" si="3"/>
        <v>0</v>
      </c>
      <c r="AD8" s="36">
        <f>IF(SUMIF($H$3:H$3,H$3,Sprint!$H8:H8)&gt;0,I8,0)</f>
        <v>0</v>
      </c>
      <c r="AE8" s="37">
        <f>IF(SUMIF($H$3:H$3,H$3,Sprint!$H8:H8)=0,$G8,0)</f>
        <v>40</v>
      </c>
      <c r="AF8" s="36">
        <f>IF(SUMIF($H$3:J$3,J$3,Sprint!$H8:J8)&gt;0,K8,0)</f>
        <v>0</v>
      </c>
      <c r="AG8" s="37">
        <f>IF(SUMIF($H$3:J$3,J$3,Sprint!$H8:J8)=0,$G8,0)</f>
        <v>40</v>
      </c>
      <c r="AH8" s="36">
        <f>IF(SUMIF($H$3:L$3,L$3,Sprint!$H8:L8)&gt;0,M8,0)</f>
        <v>0</v>
      </c>
      <c r="AI8" s="37">
        <f>IF(SUMIF($H$3:L$3,L$3,Sprint!$H8:L8)=0,$G8,0)</f>
        <v>40</v>
      </c>
      <c r="AJ8" s="36">
        <f>IF(SUMIF($H$3:N$3,N$3,Sprint!$H8:N8)&gt;0,O8,0)</f>
        <v>0</v>
      </c>
      <c r="AK8" s="37">
        <f>IF(SUMIF($H$3:N$3,N$3,Sprint!$H8:N8)=0,$G8,0)</f>
        <v>40</v>
      </c>
      <c r="AL8" s="36">
        <f>IF(SUMIF($H$3:P$3,P$3,Sprint!$H8:P8)&gt;0,Q8,0)</f>
        <v>0</v>
      </c>
      <c r="AM8" s="37">
        <f>IF(SUMIF($H$3:P$3,P$3,Sprint!$H8:P8)=0,$G8,0)</f>
        <v>40</v>
      </c>
      <c r="AN8" s="36">
        <f>IF(SUMIF($H$3:R$3,R$3,Sprint!$H8:R8)&gt;0,S8,0)</f>
        <v>32</v>
      </c>
      <c r="AO8" s="37">
        <f>IF(SUMIF($H$3:R$3,R$3,Sprint!$H8:R8)=0,$G8,0)</f>
        <v>0</v>
      </c>
      <c r="AP8" s="36">
        <f>IF(SUMIF($H$3:T$3,T$3,Sprint!$H8:T8)&gt;0,U8,0)</f>
        <v>24</v>
      </c>
      <c r="AQ8" s="37">
        <f>IF(SUMIF($H$3:T$3,T$3,Sprint!$H8:T8)=0,$G8,0)</f>
        <v>0</v>
      </c>
      <c r="AR8" s="36">
        <f>IF(SUMIF($H$3:V$3,V$3,Sprint!$H8:V8)&gt;0,W8,0)</f>
        <v>16</v>
      </c>
      <c r="AS8" s="37">
        <f>IF(SUMIF($H$3:V$3,V$3,Sprint!$H8:V8)=0,$G8,0)</f>
        <v>0</v>
      </c>
      <c r="AT8" s="36">
        <f>IF(SUMIF($H$3:X$3,X$3,Sprint!$H8:X8)&gt;0,Y8,0)</f>
        <v>8</v>
      </c>
      <c r="AU8" s="37">
        <f>IF(SUMIF($H$3:X$3,X$3,Sprint!$H8:X8)=0,$G8,0)</f>
        <v>0</v>
      </c>
      <c r="AV8" s="36">
        <f>IF(SUMIF($H$3:Z$3,Z$3,Sprint!$H8:Z8)&gt;0,AA8,0)</f>
        <v>0</v>
      </c>
      <c r="AW8" s="38">
        <f>IF(SUMIF($H$3:Z$3,Z$3,Sprint!$H8:Z8)=0,$G8,0)</f>
        <v>0</v>
      </c>
      <c r="AX8" s="20">
        <f t="shared" ca="1" si="2"/>
        <v>0</v>
      </c>
    </row>
    <row r="9" spans="1:53" x14ac:dyDescent="0.3">
      <c r="A9" s="34">
        <v>1</v>
      </c>
      <c r="B9" s="14">
        <f t="shared" ca="1" si="0"/>
        <v>3</v>
      </c>
      <c r="C9" s="14" t="s">
        <v>108</v>
      </c>
      <c r="D9" s="14"/>
      <c r="E9" s="14" t="str">
        <f t="shared" ca="1" si="1"/>
        <v/>
      </c>
      <c r="F9" s="14" t="s">
        <v>19</v>
      </c>
      <c r="G9" s="14">
        <v>30</v>
      </c>
      <c r="H9" s="14">
        <v>6</v>
      </c>
      <c r="I9" s="15">
        <v>24</v>
      </c>
      <c r="J9" s="14">
        <v>7</v>
      </c>
      <c r="K9" s="14">
        <v>17</v>
      </c>
      <c r="L9" s="14">
        <v>6</v>
      </c>
      <c r="M9" s="14">
        <v>11</v>
      </c>
      <c r="N9" s="14">
        <v>5</v>
      </c>
      <c r="O9" s="14">
        <v>8</v>
      </c>
      <c r="P9" s="14">
        <v>8</v>
      </c>
      <c r="Q9" s="14">
        <v>0</v>
      </c>
      <c r="R9" s="14"/>
      <c r="S9" s="14"/>
      <c r="T9" s="14"/>
      <c r="U9" s="14"/>
      <c r="V9" s="14"/>
      <c r="W9" s="14"/>
      <c r="X9" s="14"/>
      <c r="Y9" s="14"/>
      <c r="Z9" s="14"/>
      <c r="AA9" s="14"/>
      <c r="AB9" s="32">
        <f>G9-SUMIF($H$3:$AA$3,H$3,Sprint!$H9:$AA9)</f>
        <v>-2</v>
      </c>
      <c r="AC9" s="17">
        <f t="shared" ref="AC9:AC11" ca="1" si="4">_xlfn.IFNA(IF(INDIRECT(ADDRESS(3,LOOKUP(2,1/(H9:AA9&lt;&gt;""),COLUMN(H9:AA9))))="Left",AB9-INDIRECT(ADDRESS(ROW(H9),LOOKUP(2,1/(H9:AA9&lt;&gt;""),COLUMN(H9:AA9)))),AB9),"")</f>
        <v>-2</v>
      </c>
      <c r="AD9" s="36">
        <f>IF(SUMIF($H$3:H$3,H$3,Sprint!$H9:H9)&gt;0,I9,0)</f>
        <v>24</v>
      </c>
      <c r="AE9" s="37">
        <f>IF(SUMIF($H$3:H$3,H$3,Sprint!$H9:H9)=0,$G9,0)</f>
        <v>0</v>
      </c>
      <c r="AF9" s="36">
        <f>IF(SUMIF($H$3:J$3,J$3,Sprint!$H9:J9)&gt;0,K9,0)</f>
        <v>17</v>
      </c>
      <c r="AG9" s="37">
        <f>IF(SUMIF($H$3:J$3,J$3,Sprint!$H9:J9)=0,$G9,0)</f>
        <v>0</v>
      </c>
      <c r="AH9" s="36">
        <f>IF(SUMIF($H$3:L$3,L$3,Sprint!$H9:L9)&gt;0,M9,0)</f>
        <v>11</v>
      </c>
      <c r="AI9" s="37">
        <f>IF(SUMIF($H$3:L$3,L$3,Sprint!$H9:L9)=0,$G9,0)</f>
        <v>0</v>
      </c>
      <c r="AJ9" s="36">
        <f>IF(SUMIF($H$3:N$3,N$3,Sprint!$H9:N9)&gt;0,O9,0)</f>
        <v>8</v>
      </c>
      <c r="AK9" s="37">
        <f>IF(SUMIF($H$3:N$3,N$3,Sprint!$H9:N9)=0,$G9,0)</f>
        <v>0</v>
      </c>
      <c r="AL9" s="36">
        <f>IF(SUMIF($H$3:P$3,P$3,Sprint!$H9:P9)&gt;0,Q9,0)</f>
        <v>0</v>
      </c>
      <c r="AM9" s="37">
        <f>IF(SUMIF($H$3:P$3,P$3,Sprint!$H9:P9)=0,$G9,0)</f>
        <v>0</v>
      </c>
      <c r="AN9" s="36">
        <f>IF(SUMIF($H$3:R$3,R$3,Sprint!$H9:R9)&gt;0,S9,0)</f>
        <v>0</v>
      </c>
      <c r="AO9" s="37">
        <f>IF(SUMIF($H$3:R$3,R$3,Sprint!$H9:R9)=0,$G9,0)</f>
        <v>0</v>
      </c>
      <c r="AP9" s="36">
        <f>IF(SUMIF($H$3:T$3,T$3,Sprint!$H9:T9)&gt;0,U9,0)</f>
        <v>0</v>
      </c>
      <c r="AQ9" s="37">
        <f>IF(SUMIF($H$3:T$3,T$3,Sprint!$H9:T9)=0,$G9,0)</f>
        <v>0</v>
      </c>
      <c r="AR9" s="36">
        <f>IF(SUMIF($H$3:V$3,V$3,Sprint!$H9:V9)&gt;0,W9,0)</f>
        <v>0</v>
      </c>
      <c r="AS9" s="37">
        <f>IF(SUMIF($H$3:V$3,V$3,Sprint!$H9:V9)=0,$G9,0)</f>
        <v>0</v>
      </c>
      <c r="AT9" s="36">
        <f>IF(SUMIF($H$3:X$3,X$3,Sprint!$H9:X9)&gt;0,Y9,0)</f>
        <v>0</v>
      </c>
      <c r="AU9" s="37">
        <f>IF(SUMIF($H$3:X$3,X$3,Sprint!$H9:X9)=0,$G9,0)</f>
        <v>0</v>
      </c>
      <c r="AV9" s="36">
        <f>IF(SUMIF($H$3:Z$3,Z$3,Sprint!$H9:Z9)&gt;0,AA9,0)</f>
        <v>0</v>
      </c>
      <c r="AW9" s="38">
        <f>IF(SUMIF($H$3:Z$3,Z$3,Sprint!$H9:Z9)=0,$G9,0)</f>
        <v>0</v>
      </c>
      <c r="AX9" s="20">
        <f t="shared" ca="1" si="2"/>
        <v>0</v>
      </c>
    </row>
    <row r="10" spans="1:53" x14ac:dyDescent="0.3">
      <c r="A10" s="34">
        <v>1</v>
      </c>
      <c r="B10" s="14">
        <f t="shared" ca="1" si="0"/>
        <v>2</v>
      </c>
      <c r="C10" s="14" t="s">
        <v>107</v>
      </c>
      <c r="D10" s="14">
        <v>13</v>
      </c>
      <c r="E10" s="14" t="str">
        <f t="shared" ca="1" si="1"/>
        <v>Task 7</v>
      </c>
      <c r="F10" s="14" t="s">
        <v>20</v>
      </c>
      <c r="G10" s="14">
        <v>10</v>
      </c>
      <c r="H10" s="14"/>
      <c r="I10" s="15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32">
        <f>G10-SUMIF($H$3:$AA$3,H$3,Sprint!$H10:$AA10)</f>
        <v>10</v>
      </c>
      <c r="AC10" s="17" t="str">
        <f t="shared" ca="1" si="4"/>
        <v/>
      </c>
      <c r="AD10" s="36">
        <f>IF(SUMIF($H$3:H$3,H$3,Sprint!$H10:H10)&gt;0,I10,0)</f>
        <v>0</v>
      </c>
      <c r="AE10" s="37">
        <f>IF(SUMIF($H$3:H$3,H$3,Sprint!$H10:H10)=0,$G10,0)</f>
        <v>10</v>
      </c>
      <c r="AF10" s="36">
        <f>IF(SUMIF($H$3:J$3,J$3,Sprint!$H10:J10)&gt;0,K10,0)</f>
        <v>0</v>
      </c>
      <c r="AG10" s="37">
        <f>IF(SUMIF($H$3:J$3,J$3,Sprint!$H10:J10)=0,$G10,0)</f>
        <v>10</v>
      </c>
      <c r="AH10" s="36">
        <f>IF(SUMIF($H$3:L$3,L$3,Sprint!$H10:L10)&gt;0,M10,0)</f>
        <v>0</v>
      </c>
      <c r="AI10" s="37">
        <f>IF(SUMIF($H$3:L$3,L$3,Sprint!$H10:L10)=0,$G10,0)</f>
        <v>10</v>
      </c>
      <c r="AJ10" s="36">
        <f>IF(SUMIF($H$3:N$3,N$3,Sprint!$H10:N10)&gt;0,O10,0)</f>
        <v>0</v>
      </c>
      <c r="AK10" s="37">
        <f>IF(SUMIF($H$3:N$3,N$3,Sprint!$H10:N10)=0,$G10,0)</f>
        <v>10</v>
      </c>
      <c r="AL10" s="36">
        <f>IF(SUMIF($H$3:P$3,P$3,Sprint!$H10:P10)&gt;0,Q10,0)</f>
        <v>0</v>
      </c>
      <c r="AM10" s="37">
        <f>IF(SUMIF($H$3:P$3,P$3,Sprint!$H10:P10)=0,$G10,0)</f>
        <v>10</v>
      </c>
      <c r="AN10" s="36">
        <f>IF(SUMIF($H$3:R$3,R$3,Sprint!$H10:R10)&gt;0,S10,0)</f>
        <v>0</v>
      </c>
      <c r="AO10" s="37">
        <f>IF(SUMIF($H$3:R$3,R$3,Sprint!$H10:R10)=0,$G10,0)</f>
        <v>10</v>
      </c>
      <c r="AP10" s="36">
        <f>IF(SUMIF($H$3:T$3,T$3,Sprint!$H10:T10)&gt;0,U10,0)</f>
        <v>0</v>
      </c>
      <c r="AQ10" s="37">
        <f>IF(SUMIF($H$3:T$3,T$3,Sprint!$H10:T10)=0,$G10,0)</f>
        <v>10</v>
      </c>
      <c r="AR10" s="36">
        <f>IF(SUMIF($H$3:V$3,V$3,Sprint!$H10:V10)&gt;0,W10,0)</f>
        <v>0</v>
      </c>
      <c r="AS10" s="37">
        <f>IF(SUMIF($H$3:V$3,V$3,Sprint!$H10:V10)=0,$G10,0)</f>
        <v>10</v>
      </c>
      <c r="AT10" s="36">
        <f>IF(SUMIF($H$3:X$3,X$3,Sprint!$H10:X10)&gt;0,Y10,0)</f>
        <v>0</v>
      </c>
      <c r="AU10" s="37">
        <f>IF(SUMIF($H$3:X$3,X$3,Sprint!$H10:X10)=0,$G10,0)</f>
        <v>10</v>
      </c>
      <c r="AV10" s="36">
        <f>IF(SUMIF($H$3:Z$3,Z$3,Sprint!$H10:Z10)&gt;0,AA10,0)</f>
        <v>0</v>
      </c>
      <c r="AW10" s="38">
        <f>IF(SUMIF($H$3:Z$3,Z$3,Sprint!$H10:Z10)=0,$G10,0)</f>
        <v>10</v>
      </c>
      <c r="AX10" s="20">
        <f t="shared" ca="1" si="2"/>
        <v>10</v>
      </c>
    </row>
    <row r="11" spans="1:53" x14ac:dyDescent="0.3">
      <c r="A11" s="34">
        <v>1</v>
      </c>
      <c r="B11" s="14">
        <f t="shared" ca="1" si="0"/>
        <v>2</v>
      </c>
      <c r="C11" s="14" t="s">
        <v>107</v>
      </c>
      <c r="D11" s="14">
        <v>15</v>
      </c>
      <c r="E11" s="14" t="str">
        <f t="shared" ca="1" si="1"/>
        <v>Task 8</v>
      </c>
      <c r="F11" s="14" t="s">
        <v>20</v>
      </c>
      <c r="G11" s="14">
        <v>35</v>
      </c>
      <c r="H11" s="14">
        <v>6</v>
      </c>
      <c r="I11" s="15">
        <v>24</v>
      </c>
      <c r="J11" s="14">
        <v>6</v>
      </c>
      <c r="K11" s="14">
        <v>18</v>
      </c>
      <c r="L11" s="14">
        <v>6</v>
      </c>
      <c r="M11" s="14">
        <v>12</v>
      </c>
      <c r="N11" s="14">
        <v>6</v>
      </c>
      <c r="O11" s="14">
        <v>6</v>
      </c>
      <c r="P11" s="14">
        <v>6</v>
      </c>
      <c r="Q11" s="14">
        <v>2</v>
      </c>
      <c r="R11" s="14">
        <v>8</v>
      </c>
      <c r="S11" s="14">
        <v>0</v>
      </c>
      <c r="T11" s="14"/>
      <c r="U11" s="14"/>
      <c r="V11" s="14"/>
      <c r="W11" s="14"/>
      <c r="X11" s="14"/>
      <c r="Y11" s="14"/>
      <c r="Z11" s="14"/>
      <c r="AA11" s="14"/>
      <c r="AB11" s="32">
        <f>G11-SUMIF($H$3:$AA$3,H$3,Sprint!$H11:$AA11)</f>
        <v>-3</v>
      </c>
      <c r="AC11" s="17">
        <f t="shared" ca="1" si="4"/>
        <v>-3</v>
      </c>
      <c r="AD11" s="36">
        <f>IF(SUMIF($H$3:H$3,H$3,Sprint!$H11:H11)&gt;0,I11,0)</f>
        <v>24</v>
      </c>
      <c r="AE11" s="37">
        <f>IF(SUMIF($H$3:H$3,H$3,Sprint!$H11:H11)=0,$G11,0)</f>
        <v>0</v>
      </c>
      <c r="AF11" s="36">
        <f>IF(SUMIF($H$3:J$3,J$3,Sprint!$H11:J11)&gt;0,K11,0)</f>
        <v>18</v>
      </c>
      <c r="AG11" s="37">
        <f>IF(SUMIF($H$3:J$3,J$3,Sprint!$H11:J11)=0,$G11,0)</f>
        <v>0</v>
      </c>
      <c r="AH11" s="36">
        <f>IF(SUMIF($H$3:L$3,L$3,Sprint!$H11:L11)&gt;0,M11,0)</f>
        <v>12</v>
      </c>
      <c r="AI11" s="37">
        <f>IF(SUMIF($H$3:L$3,L$3,Sprint!$H11:L11)=0,$G11,0)</f>
        <v>0</v>
      </c>
      <c r="AJ11" s="36">
        <f>IF(SUMIF($H$3:N$3,N$3,Sprint!$H11:N11)&gt;0,O11,0)</f>
        <v>6</v>
      </c>
      <c r="AK11" s="37">
        <f>IF(SUMIF($H$3:N$3,N$3,Sprint!$H11:N11)=0,$G11,0)</f>
        <v>0</v>
      </c>
      <c r="AL11" s="36">
        <f>IF(SUMIF($H$3:P$3,P$3,Sprint!$H11:P11)&gt;0,Q11,0)</f>
        <v>2</v>
      </c>
      <c r="AM11" s="37">
        <f>IF(SUMIF($H$3:P$3,P$3,Sprint!$H11:P11)=0,$G11,0)</f>
        <v>0</v>
      </c>
      <c r="AN11" s="36">
        <f>IF(SUMIF($H$3:R$3,R$3,Sprint!$H11:R11)&gt;0,S11,0)</f>
        <v>0</v>
      </c>
      <c r="AO11" s="37">
        <f>IF(SUMIF($H$3:R$3,R$3,Sprint!$H11:R11)=0,$G11,0)</f>
        <v>0</v>
      </c>
      <c r="AP11" s="36">
        <f>IF(SUMIF($H$3:T$3,T$3,Sprint!$H11:T11)&gt;0,U11,0)</f>
        <v>0</v>
      </c>
      <c r="AQ11" s="37">
        <f>IF(SUMIF($H$3:T$3,T$3,Sprint!$H11:T11)=0,$G11,0)</f>
        <v>0</v>
      </c>
      <c r="AR11" s="36">
        <f>IF(SUMIF($H$3:V$3,V$3,Sprint!$H11:V11)&gt;0,W11,0)</f>
        <v>0</v>
      </c>
      <c r="AS11" s="37">
        <f>IF(SUMIF($H$3:V$3,V$3,Sprint!$H11:V11)=0,$G11,0)</f>
        <v>0</v>
      </c>
      <c r="AT11" s="36">
        <f>IF(SUMIF($H$3:X$3,X$3,Sprint!$H11:X11)&gt;0,Y11,0)</f>
        <v>0</v>
      </c>
      <c r="AU11" s="37">
        <f>IF(SUMIF($H$3:X$3,X$3,Sprint!$H11:X11)=0,$G11,0)</f>
        <v>0</v>
      </c>
      <c r="AV11" s="36">
        <f>IF(SUMIF($H$3:Z$3,Z$3,Sprint!$H11:Z11)&gt;0,AA11,0)</f>
        <v>0</v>
      </c>
      <c r="AW11" s="38">
        <f>IF(SUMIF($H$3:Z$3,Z$3,Sprint!$H11:Z11)=0,$G11,0)</f>
        <v>0</v>
      </c>
      <c r="AX11" s="20">
        <f t="shared" ca="1" si="2"/>
        <v>0</v>
      </c>
    </row>
    <row r="12" spans="1:53" x14ac:dyDescent="0.3">
      <c r="A12" s="34">
        <v>1</v>
      </c>
      <c r="B12" s="14">
        <f t="shared" ca="1" si="0"/>
        <v>2</v>
      </c>
      <c r="C12" s="14" t="s">
        <v>107</v>
      </c>
      <c r="D12" s="14">
        <v>9</v>
      </c>
      <c r="E12" s="14" t="str">
        <f t="shared" ca="1" si="1"/>
        <v>Task 5</v>
      </c>
      <c r="F12" s="14" t="s">
        <v>20</v>
      </c>
      <c r="G12" s="14">
        <v>50</v>
      </c>
      <c r="H12" s="14">
        <v>2</v>
      </c>
      <c r="I12" s="15">
        <v>48</v>
      </c>
      <c r="J12" s="14">
        <v>2</v>
      </c>
      <c r="K12" s="14">
        <v>46</v>
      </c>
      <c r="L12" s="14">
        <v>2</v>
      </c>
      <c r="M12" s="14">
        <v>44</v>
      </c>
      <c r="N12" s="14">
        <v>2</v>
      </c>
      <c r="O12" s="14">
        <v>42</v>
      </c>
      <c r="P12" s="14">
        <v>2</v>
      </c>
      <c r="Q12" s="14">
        <v>40</v>
      </c>
      <c r="R12" s="14">
        <v>2</v>
      </c>
      <c r="S12" s="14">
        <v>32</v>
      </c>
      <c r="T12" s="14">
        <v>8</v>
      </c>
      <c r="U12" s="14">
        <v>22</v>
      </c>
      <c r="V12" s="14">
        <v>8</v>
      </c>
      <c r="W12" s="14">
        <v>16</v>
      </c>
      <c r="X12" s="14">
        <v>8</v>
      </c>
      <c r="Y12" s="14">
        <v>12</v>
      </c>
      <c r="Z12" s="14">
        <v>8</v>
      </c>
      <c r="AA12" s="14">
        <v>6</v>
      </c>
      <c r="AB12" s="32">
        <f>G12-SUMIF($H$3:$AA$3,H$3,Sprint!$H12:$AA12)</f>
        <v>6</v>
      </c>
      <c r="AC12" s="17">
        <f t="shared" ca="1" si="3"/>
        <v>0</v>
      </c>
      <c r="AD12" s="10">
        <f>IF(SUMIF($H$3:H$3,H$3,Sprint!$H12:H12)&gt;0,I12,0)</f>
        <v>48</v>
      </c>
      <c r="AE12" s="42">
        <f>IF(SUMIF($H$3:H$3,H$3,Sprint!$H12:H12)=0,$G12,0)</f>
        <v>0</v>
      </c>
      <c r="AF12" s="10">
        <f>IF(SUMIF($H$3:J$3,J$3,Sprint!$H12:J12)&gt;0,K12,0)</f>
        <v>46</v>
      </c>
      <c r="AG12" s="42">
        <f>IF(SUMIF($H$3:J$3,J$3,Sprint!$H12:J12)=0,$G12,0)</f>
        <v>0</v>
      </c>
      <c r="AH12" s="10">
        <f>IF(SUMIF($H$3:L$3,L$3,Sprint!$H12:L12)&gt;0,M12,0)</f>
        <v>44</v>
      </c>
      <c r="AI12" s="42">
        <f>IF(SUMIF($H$3:L$3,L$3,Sprint!$H12:L12)=0,$G12,0)</f>
        <v>0</v>
      </c>
      <c r="AJ12" s="10">
        <f>IF(SUMIF($H$3:N$3,N$3,Sprint!$H12:N12)&gt;0,O12,0)</f>
        <v>42</v>
      </c>
      <c r="AK12" s="42">
        <f>IF(SUMIF($H$3:N$3,N$3,Sprint!$H12:N12)=0,$G12,0)</f>
        <v>0</v>
      </c>
      <c r="AL12" s="10">
        <f>IF(SUMIF($H$3:P$3,P$3,Sprint!$H12:P12)&gt;0,Q12,0)</f>
        <v>40</v>
      </c>
      <c r="AM12" s="42">
        <f>IF(SUMIF($H$3:P$3,P$3,Sprint!$H12:P12)=0,$G12,0)</f>
        <v>0</v>
      </c>
      <c r="AN12" s="10">
        <f>IF(SUMIF($H$3:R$3,R$3,Sprint!$H12:R12)&gt;0,S12,0)</f>
        <v>32</v>
      </c>
      <c r="AO12" s="42">
        <f>IF(SUMIF($H$3:R$3,R$3,Sprint!$H12:R12)=0,$G12,0)</f>
        <v>0</v>
      </c>
      <c r="AP12" s="10">
        <f>IF(SUMIF($H$3:T$3,T$3,Sprint!$H12:T12)&gt;0,U12,0)</f>
        <v>22</v>
      </c>
      <c r="AQ12" s="42">
        <f>IF(SUMIF($H$3:T$3,T$3,Sprint!$H12:T12)=0,$G12,0)</f>
        <v>0</v>
      </c>
      <c r="AR12" s="10">
        <f>IF(SUMIF($H$3:V$3,V$3,Sprint!$H12:V12)&gt;0,W12,0)</f>
        <v>16</v>
      </c>
      <c r="AS12" s="42">
        <f>IF(SUMIF($H$3:V$3,V$3,Sprint!$H12:V12)=0,$G12,0)</f>
        <v>0</v>
      </c>
      <c r="AT12" s="10">
        <f>IF(SUMIF($H$3:X$3,X$3,Sprint!$H12:X12)&gt;0,Y12,0)</f>
        <v>12</v>
      </c>
      <c r="AU12" s="42">
        <f>IF(SUMIF($H$3:X$3,X$3,Sprint!$H12:X12)=0,$G12,0)</f>
        <v>0</v>
      </c>
      <c r="AV12" s="10">
        <f>IF(SUMIF($H$3:Z$3,Z$3,Sprint!$H12:Z12)&gt;0,AA12,0)</f>
        <v>6</v>
      </c>
      <c r="AW12" s="11">
        <f>IF(SUMIF($H$3:Z$3,Z$3,Sprint!$H12:Z12)=0,$G12,0)</f>
        <v>0</v>
      </c>
      <c r="AX12" s="20">
        <f t="shared" ca="1" si="2"/>
        <v>6</v>
      </c>
    </row>
    <row r="13" spans="1:53" x14ac:dyDescent="0.3">
      <c r="A13" s="34">
        <v>1</v>
      </c>
      <c r="B13" s="14">
        <f t="shared" ca="1" si="0"/>
        <v>2</v>
      </c>
      <c r="C13" s="14" t="s">
        <v>107</v>
      </c>
      <c r="D13" s="14">
        <v>11</v>
      </c>
      <c r="E13" s="14" t="str">
        <f t="shared" ca="1" si="1"/>
        <v>Task 6</v>
      </c>
      <c r="F13" s="14" t="s">
        <v>19</v>
      </c>
      <c r="G13" s="14">
        <v>40</v>
      </c>
      <c r="H13" s="14">
        <v>4</v>
      </c>
      <c r="I13" s="15">
        <v>36</v>
      </c>
      <c r="J13" s="14">
        <v>4</v>
      </c>
      <c r="K13" s="14">
        <v>32</v>
      </c>
      <c r="L13" s="14">
        <v>4</v>
      </c>
      <c r="M13" s="14">
        <v>28</v>
      </c>
      <c r="N13" s="14">
        <v>6</v>
      </c>
      <c r="O13" s="14">
        <v>22</v>
      </c>
      <c r="P13" s="14">
        <v>6</v>
      </c>
      <c r="Q13" s="14">
        <v>16</v>
      </c>
      <c r="R13" s="14">
        <v>8</v>
      </c>
      <c r="S13" s="14">
        <v>8</v>
      </c>
      <c r="T13" s="14">
        <v>6</v>
      </c>
      <c r="U13" s="14">
        <v>0</v>
      </c>
      <c r="V13" s="14"/>
      <c r="W13" s="14"/>
      <c r="X13" s="14"/>
      <c r="Y13" s="14"/>
      <c r="Z13" s="14"/>
      <c r="AA13" s="14"/>
      <c r="AB13" s="32">
        <f>G13-SUMIF($H$3:$AA$3,H$3,Sprint!$H13:$AA13)</f>
        <v>2</v>
      </c>
      <c r="AC13" s="17">
        <f t="shared" ref="AC13:AC67" ca="1" si="5">_xlfn.IFNA(IF(INDIRECT(ADDRESS(3,LOOKUP(2,1/(H13:AA13&lt;&gt;""),COLUMN(H13:AA13))))="Left",AB13-INDIRECT(ADDRESS(ROW(H13),LOOKUP(2,1/(H13:AA13&lt;&gt;""),COLUMN(H13:AA13)))),AB13),"")</f>
        <v>2</v>
      </c>
      <c r="AD13" s="10">
        <f>IF(SUMIF($H$3:H$3,H$3,Sprint!$H13:H13)&gt;0,I13,0)</f>
        <v>36</v>
      </c>
      <c r="AE13" s="42">
        <f>IF(SUMIF($H$3:H$3,H$3,Sprint!$H13:H13)=0,$G13,0)</f>
        <v>0</v>
      </c>
      <c r="AF13" s="10">
        <f>IF(SUMIF($H$3:J$3,J$3,Sprint!$H13:J13)&gt;0,K13,0)</f>
        <v>32</v>
      </c>
      <c r="AG13" s="42">
        <f>IF(SUMIF($H$3:J$3,J$3,Sprint!$H13:J13)=0,$G13,0)</f>
        <v>0</v>
      </c>
      <c r="AH13" s="10">
        <f>IF(SUMIF($H$3:L$3,L$3,Sprint!$H13:L13)&gt;0,M13,0)</f>
        <v>28</v>
      </c>
      <c r="AI13" s="42">
        <f>IF(SUMIF($H$3:L$3,L$3,Sprint!$H13:L13)=0,$G13,0)</f>
        <v>0</v>
      </c>
      <c r="AJ13" s="10">
        <f>IF(SUMIF($H$3:N$3,N$3,Sprint!$H13:N13)&gt;0,O13,0)</f>
        <v>22</v>
      </c>
      <c r="AK13" s="42">
        <f>IF(SUMIF($H$3:N$3,N$3,Sprint!$H13:N13)=0,$G13,0)</f>
        <v>0</v>
      </c>
      <c r="AL13" s="10">
        <f>IF(SUMIF($H$3:P$3,P$3,Sprint!$H13:P13)&gt;0,Q13,0)</f>
        <v>16</v>
      </c>
      <c r="AM13" s="42">
        <f>IF(SUMIF($H$3:P$3,P$3,Sprint!$H13:P13)=0,$G13,0)</f>
        <v>0</v>
      </c>
      <c r="AN13" s="10">
        <f>IF(SUMIF($H$3:R$3,R$3,Sprint!$H13:R13)&gt;0,S13,0)</f>
        <v>8</v>
      </c>
      <c r="AO13" s="42">
        <f>IF(SUMIF($H$3:R$3,R$3,Sprint!$H13:R13)=0,$G13,0)</f>
        <v>0</v>
      </c>
      <c r="AP13" s="10">
        <f>IF(SUMIF($H$3:T$3,T$3,Sprint!$H13:T13)&gt;0,U13,0)</f>
        <v>0</v>
      </c>
      <c r="AQ13" s="42">
        <f>IF(SUMIF($H$3:T$3,T$3,Sprint!$H13:T13)=0,$G13,0)</f>
        <v>0</v>
      </c>
      <c r="AR13" s="10">
        <f>IF(SUMIF($H$3:V$3,V$3,Sprint!$H13:V13)&gt;0,W13,0)</f>
        <v>0</v>
      </c>
      <c r="AS13" s="42">
        <f>IF(SUMIF($H$3:V$3,V$3,Sprint!$H13:V13)=0,$G13,0)</f>
        <v>0</v>
      </c>
      <c r="AT13" s="10">
        <f>IF(SUMIF($H$3:X$3,X$3,Sprint!$H13:X13)&gt;0,Y13,0)</f>
        <v>0</v>
      </c>
      <c r="AU13" s="42">
        <f>IF(SUMIF($H$3:X$3,X$3,Sprint!$H13:X13)=0,$G13,0)</f>
        <v>0</v>
      </c>
      <c r="AV13" s="10">
        <f>IF(SUMIF($H$3:Z$3,Z$3,Sprint!$H13:Z13)&gt;0,AA13,0)</f>
        <v>0</v>
      </c>
      <c r="AW13" s="11">
        <f>IF(SUMIF($H$3:Z$3,Z$3,Sprint!$H13:Z13)=0,$G13,0)</f>
        <v>0</v>
      </c>
      <c r="AX13" s="20">
        <f t="shared" ca="1" si="2"/>
        <v>0</v>
      </c>
    </row>
    <row r="14" spans="1:53" x14ac:dyDescent="0.3">
      <c r="A14" s="34">
        <v>2</v>
      </c>
      <c r="B14" s="14">
        <f t="shared" ca="1" si="0"/>
        <v>3</v>
      </c>
      <c r="C14" s="14" t="s">
        <v>108</v>
      </c>
      <c r="D14" s="14">
        <v>2</v>
      </c>
      <c r="E14" s="14" t="str">
        <f t="shared" ca="1" si="1"/>
        <v>Task 10</v>
      </c>
      <c r="F14" s="14" t="s">
        <v>21</v>
      </c>
      <c r="G14" s="14">
        <v>2</v>
      </c>
      <c r="H14" s="14"/>
      <c r="I14" s="15"/>
      <c r="J14" s="14">
        <v>4</v>
      </c>
      <c r="K14" s="14">
        <v>2</v>
      </c>
      <c r="L14" s="14"/>
      <c r="M14" s="14"/>
      <c r="N14" s="14">
        <v>2</v>
      </c>
      <c r="O14" s="14">
        <v>0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32">
        <f>G14-SUMIF($H$3:$AA$3,H$3,Sprint!$H14:$AA14)</f>
        <v>-4</v>
      </c>
      <c r="AC14" s="17">
        <f t="shared" ca="1" si="5"/>
        <v>-4</v>
      </c>
      <c r="AD14" s="10">
        <f>IF(SUMIF($H$3:H$3,H$3,Sprint!$H14:H14)&gt;0,I14,0)</f>
        <v>0</v>
      </c>
      <c r="AE14" s="42">
        <f>IF(SUMIF($H$3:H$3,H$3,Sprint!$H14:H14)=0,$G14,0)</f>
        <v>2</v>
      </c>
      <c r="AF14" s="10">
        <f>IF(SUMIF($H$3:J$3,J$3,Sprint!$H14:J14)&gt;0,K14,0)</f>
        <v>2</v>
      </c>
      <c r="AG14" s="42">
        <f>IF(SUMIF($H$3:J$3,J$3,Sprint!$H14:J14)=0,$G14,0)</f>
        <v>0</v>
      </c>
      <c r="AH14" s="10">
        <f>IF(SUMIF($H$3:L$3,L$3,Sprint!$H14:L14)&gt;0,M14,0)</f>
        <v>0</v>
      </c>
      <c r="AI14" s="42">
        <f>IF(SUMIF($H$3:L$3,L$3,Sprint!$H14:L14)=0,$G14,0)</f>
        <v>0</v>
      </c>
      <c r="AJ14" s="10">
        <f>IF(SUMIF($H$3:N$3,N$3,Sprint!$H14:N14)&gt;0,O14,0)</f>
        <v>0</v>
      </c>
      <c r="AK14" s="42">
        <f>IF(SUMIF($H$3:N$3,N$3,Sprint!$H14:N14)=0,$G14,0)</f>
        <v>0</v>
      </c>
      <c r="AL14" s="10">
        <f>IF(SUMIF($H$3:P$3,P$3,Sprint!$H14:P14)&gt;0,Q14,0)</f>
        <v>0</v>
      </c>
      <c r="AM14" s="42">
        <f>IF(SUMIF($H$3:P$3,P$3,Sprint!$H14:P14)=0,$G14,0)</f>
        <v>0</v>
      </c>
      <c r="AN14" s="10">
        <f>IF(SUMIF($H$3:R$3,R$3,Sprint!$H14:R14)&gt;0,S14,0)</f>
        <v>0</v>
      </c>
      <c r="AO14" s="42">
        <f>IF(SUMIF($H$3:R$3,R$3,Sprint!$H14:R14)=0,$G14,0)</f>
        <v>0</v>
      </c>
      <c r="AP14" s="10">
        <f>IF(SUMIF($H$3:T$3,T$3,Sprint!$H14:T14)&gt;0,U14,0)</f>
        <v>0</v>
      </c>
      <c r="AQ14" s="42">
        <f>IF(SUMIF($H$3:T$3,T$3,Sprint!$H14:T14)=0,$G14,0)</f>
        <v>0</v>
      </c>
      <c r="AR14" s="10">
        <f>IF(SUMIF($H$3:V$3,V$3,Sprint!$H14:V14)&gt;0,W14,0)</f>
        <v>0</v>
      </c>
      <c r="AS14" s="42">
        <f>IF(SUMIF($H$3:V$3,V$3,Sprint!$H14:V14)=0,$G14,0)</f>
        <v>0</v>
      </c>
      <c r="AT14" s="10">
        <f>IF(SUMIF($H$3:X$3,X$3,Sprint!$H14:X14)&gt;0,Y14,0)</f>
        <v>0</v>
      </c>
      <c r="AU14" s="42">
        <f>IF(SUMIF($H$3:X$3,X$3,Sprint!$H14:X14)=0,$G14,0)</f>
        <v>0</v>
      </c>
      <c r="AV14" s="10">
        <f>IF(SUMIF($H$3:Z$3,Z$3,Sprint!$H14:Z14)&gt;0,AA14,0)</f>
        <v>0</v>
      </c>
      <c r="AW14" s="11">
        <f>IF(SUMIF($H$3:Z$3,Z$3,Sprint!$H14:Z14)=0,$G14,0)</f>
        <v>0</v>
      </c>
      <c r="AX14" s="20">
        <f t="shared" ca="1" si="2"/>
        <v>0</v>
      </c>
    </row>
    <row r="15" spans="1:53" x14ac:dyDescent="0.3">
      <c r="A15" s="34">
        <v>1</v>
      </c>
      <c r="B15" s="14">
        <f t="shared" ca="1" si="0"/>
        <v>3</v>
      </c>
      <c r="C15" s="14" t="s">
        <v>108</v>
      </c>
      <c r="D15" s="14">
        <v>17</v>
      </c>
      <c r="E15" s="14" t="str">
        <f t="shared" ca="1" si="1"/>
        <v>Task 9</v>
      </c>
      <c r="F15" s="14" t="s">
        <v>19</v>
      </c>
      <c r="G15" s="14">
        <v>6</v>
      </c>
      <c r="H15" s="14"/>
      <c r="I15" s="15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>
        <v>2</v>
      </c>
      <c r="U15" s="14">
        <v>4</v>
      </c>
      <c r="V15" s="14">
        <v>2</v>
      </c>
      <c r="W15" s="14">
        <v>2</v>
      </c>
      <c r="X15" s="14">
        <v>3</v>
      </c>
      <c r="Y15" s="14">
        <v>0</v>
      </c>
      <c r="Z15" s="14"/>
      <c r="AA15" s="14"/>
      <c r="AB15" s="32">
        <f>G15-SUMIF($H$3:$AA$3,H$3,Sprint!$H15:$AA15)</f>
        <v>-1</v>
      </c>
      <c r="AC15" s="17">
        <f t="shared" ca="1" si="5"/>
        <v>-1</v>
      </c>
      <c r="AD15" s="10">
        <f>IF(SUMIF($H$3:H$3,H$3,Sprint!$H15:H15)&gt;0,I15,0)</f>
        <v>0</v>
      </c>
      <c r="AE15" s="42">
        <f>IF(SUMIF($H$3:H$3,H$3,Sprint!$H15:H15)=0,$G15,0)</f>
        <v>6</v>
      </c>
      <c r="AF15" s="10">
        <f>IF(SUMIF($H$3:J$3,J$3,Sprint!$H15:J15)&gt;0,K15,0)</f>
        <v>0</v>
      </c>
      <c r="AG15" s="42">
        <f>IF(SUMIF($H$3:J$3,J$3,Sprint!$H15:J15)=0,$G15,0)</f>
        <v>6</v>
      </c>
      <c r="AH15" s="10">
        <f>IF(SUMIF($H$3:L$3,L$3,Sprint!$H15:L15)&gt;0,M15,0)</f>
        <v>0</v>
      </c>
      <c r="AI15" s="42">
        <f>IF(SUMIF($H$3:L$3,L$3,Sprint!$H15:L15)=0,$G15,0)</f>
        <v>6</v>
      </c>
      <c r="AJ15" s="10">
        <f>IF(SUMIF($H$3:N$3,N$3,Sprint!$H15:N15)&gt;0,O15,0)</f>
        <v>0</v>
      </c>
      <c r="AK15" s="42">
        <f>IF(SUMIF($H$3:N$3,N$3,Sprint!$H15:N15)=0,$G15,0)</f>
        <v>6</v>
      </c>
      <c r="AL15" s="10">
        <f>IF(SUMIF($H$3:P$3,P$3,Sprint!$H15:P15)&gt;0,Q15,0)</f>
        <v>0</v>
      </c>
      <c r="AM15" s="42">
        <f>IF(SUMIF($H$3:P$3,P$3,Sprint!$H15:P15)=0,$G15,0)</f>
        <v>6</v>
      </c>
      <c r="AN15" s="10">
        <f>IF(SUMIF($H$3:R$3,R$3,Sprint!$H15:R15)&gt;0,S15,0)</f>
        <v>0</v>
      </c>
      <c r="AO15" s="42">
        <f>IF(SUMIF($H$3:R$3,R$3,Sprint!$H15:R15)=0,$G15,0)</f>
        <v>6</v>
      </c>
      <c r="AP15" s="10">
        <f>IF(SUMIF($H$3:T$3,T$3,Sprint!$H15:T15)&gt;0,U15,0)</f>
        <v>4</v>
      </c>
      <c r="AQ15" s="42">
        <f>IF(SUMIF($H$3:T$3,T$3,Sprint!$H15:T15)=0,$G15,0)</f>
        <v>0</v>
      </c>
      <c r="AR15" s="10">
        <f>IF(SUMIF($H$3:V$3,V$3,Sprint!$H15:V15)&gt;0,W15,0)</f>
        <v>2</v>
      </c>
      <c r="AS15" s="42">
        <f>IF(SUMIF($H$3:V$3,V$3,Sprint!$H15:V15)=0,$G15,0)</f>
        <v>0</v>
      </c>
      <c r="AT15" s="10">
        <f>IF(SUMIF($H$3:X$3,X$3,Sprint!$H15:X15)&gt;0,Y15,0)</f>
        <v>0</v>
      </c>
      <c r="AU15" s="42">
        <f>IF(SUMIF($H$3:X$3,X$3,Sprint!$H15:X15)=0,$G15,0)</f>
        <v>0</v>
      </c>
      <c r="AV15" s="10">
        <f>IF(SUMIF($H$3:Z$3,Z$3,Sprint!$H15:Z15)&gt;0,AA15,0)</f>
        <v>0</v>
      </c>
      <c r="AW15" s="11">
        <f>IF(SUMIF($H$3:Z$3,Z$3,Sprint!$H15:Z15)=0,$G15,0)</f>
        <v>0</v>
      </c>
      <c r="AX15" s="20">
        <f t="shared" ca="1" si="2"/>
        <v>0</v>
      </c>
    </row>
    <row r="16" spans="1:53" x14ac:dyDescent="0.3">
      <c r="A16" s="34">
        <v>2</v>
      </c>
      <c r="B16" s="14">
        <f t="shared" ca="1" si="0"/>
        <v>2</v>
      </c>
      <c r="C16" s="14" t="s">
        <v>107</v>
      </c>
      <c r="D16" s="14">
        <v>9</v>
      </c>
      <c r="E16" s="14" t="str">
        <f t="shared" ca="1" si="1"/>
        <v>Task 5</v>
      </c>
      <c r="F16" s="14" t="s">
        <v>20</v>
      </c>
      <c r="G16" s="14">
        <v>6</v>
      </c>
      <c r="H16" s="14">
        <v>6</v>
      </c>
      <c r="I16" s="15">
        <v>0</v>
      </c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32">
        <f>G16-SUMIF($H$3:$AA$3,H$3,Sprint!$H16:$AA16)</f>
        <v>0</v>
      </c>
      <c r="AC16" s="17">
        <f t="shared" ca="1" si="5"/>
        <v>0</v>
      </c>
      <c r="AD16" s="10">
        <f>IF(SUMIF($H$3:H$3,H$3,Sprint!$H16:H16)&gt;0,I16,0)</f>
        <v>0</v>
      </c>
      <c r="AE16" s="42">
        <f>IF(SUMIF($H$3:H$3,H$3,Sprint!$H16:H16)=0,$G16,0)</f>
        <v>0</v>
      </c>
      <c r="AF16" s="10">
        <f>IF(SUMIF($H$3:J$3,J$3,Sprint!$H16:J16)&gt;0,K16,0)</f>
        <v>0</v>
      </c>
      <c r="AG16" s="42">
        <f>IF(SUMIF($H$3:J$3,J$3,Sprint!$H16:J16)=0,$G16,0)</f>
        <v>0</v>
      </c>
      <c r="AH16" s="10">
        <f>IF(SUMIF($H$3:L$3,L$3,Sprint!$H16:L16)&gt;0,M16,0)</f>
        <v>0</v>
      </c>
      <c r="AI16" s="42">
        <f>IF(SUMIF($H$3:L$3,L$3,Sprint!$H16:L16)=0,$G16,0)</f>
        <v>0</v>
      </c>
      <c r="AJ16" s="10">
        <f>IF(SUMIF($H$3:N$3,N$3,Sprint!$H16:N16)&gt;0,O16,0)</f>
        <v>0</v>
      </c>
      <c r="AK16" s="42">
        <f>IF(SUMIF($H$3:N$3,N$3,Sprint!$H16:N16)=0,$G16,0)</f>
        <v>0</v>
      </c>
      <c r="AL16" s="10">
        <f>IF(SUMIF($H$3:P$3,P$3,Sprint!$H16:P16)&gt;0,Q16,0)</f>
        <v>0</v>
      </c>
      <c r="AM16" s="42">
        <f>IF(SUMIF($H$3:P$3,P$3,Sprint!$H16:P16)=0,$G16,0)</f>
        <v>0</v>
      </c>
      <c r="AN16" s="10">
        <f>IF(SUMIF($H$3:R$3,R$3,Sprint!$H16:R16)&gt;0,S16,0)</f>
        <v>0</v>
      </c>
      <c r="AO16" s="42">
        <f>IF(SUMIF($H$3:R$3,R$3,Sprint!$H16:R16)=0,$G16,0)</f>
        <v>0</v>
      </c>
      <c r="AP16" s="10">
        <f>IF(SUMIF($H$3:T$3,T$3,Sprint!$H16:T16)&gt;0,U16,0)</f>
        <v>0</v>
      </c>
      <c r="AQ16" s="42">
        <f>IF(SUMIF($H$3:T$3,T$3,Sprint!$H16:T16)=0,$G16,0)</f>
        <v>0</v>
      </c>
      <c r="AR16" s="10">
        <f>IF(SUMIF($H$3:V$3,V$3,Sprint!$H16:V16)&gt;0,W16,0)</f>
        <v>0</v>
      </c>
      <c r="AS16" s="42">
        <f>IF(SUMIF($H$3:V$3,V$3,Sprint!$H16:V16)=0,$G16,0)</f>
        <v>0</v>
      </c>
      <c r="AT16" s="10">
        <f>IF(SUMIF($H$3:X$3,X$3,Sprint!$H16:X16)&gt;0,Y16,0)</f>
        <v>0</v>
      </c>
      <c r="AU16" s="42">
        <f>IF(SUMIF($H$3:X$3,X$3,Sprint!$H16:X16)=0,$G16,0)</f>
        <v>0</v>
      </c>
      <c r="AV16" s="10">
        <f>IF(SUMIF($H$3:Z$3,Z$3,Sprint!$H16:Z16)&gt;0,AA16,0)</f>
        <v>0</v>
      </c>
      <c r="AW16" s="11">
        <f>IF(SUMIF($H$3:Z$3,Z$3,Sprint!$H16:Z16)=0,$G16,0)</f>
        <v>0</v>
      </c>
      <c r="AX16" s="20">
        <f t="shared" ca="1" si="2"/>
        <v>0</v>
      </c>
    </row>
    <row r="17" spans="1:50" x14ac:dyDescent="0.3">
      <c r="A17" s="34">
        <v>2</v>
      </c>
      <c r="B17" s="14">
        <f t="shared" ca="1" si="0"/>
        <v>2</v>
      </c>
      <c r="C17" s="14" t="s">
        <v>107</v>
      </c>
      <c r="D17" s="14">
        <v>13</v>
      </c>
      <c r="E17" s="14" t="str">
        <f t="shared" ca="1" si="1"/>
        <v>Task 7</v>
      </c>
      <c r="F17" s="14" t="s">
        <v>19</v>
      </c>
      <c r="G17" s="14">
        <v>10</v>
      </c>
      <c r="H17" s="14"/>
      <c r="I17" s="15"/>
      <c r="J17" s="14"/>
      <c r="K17" s="14"/>
      <c r="L17" s="14"/>
      <c r="M17" s="14"/>
      <c r="N17" s="14"/>
      <c r="O17" s="14"/>
      <c r="P17" s="14"/>
      <c r="Q17" s="14"/>
      <c r="R17" s="14">
        <v>6</v>
      </c>
      <c r="S17" s="14">
        <v>4</v>
      </c>
      <c r="T17" s="14">
        <v>2</v>
      </c>
      <c r="U17" s="14">
        <v>2</v>
      </c>
      <c r="V17" s="14">
        <v>1</v>
      </c>
      <c r="W17" s="14">
        <v>0</v>
      </c>
      <c r="X17" s="14"/>
      <c r="Y17" s="14"/>
      <c r="Z17" s="14"/>
      <c r="AA17" s="14"/>
      <c r="AB17" s="32">
        <f>G17-SUMIF($H$3:$AA$3,H$3,Sprint!$H17:$AA17)</f>
        <v>1</v>
      </c>
      <c r="AC17" s="17">
        <f t="shared" ca="1" si="5"/>
        <v>1</v>
      </c>
      <c r="AD17" s="10">
        <f>IF(SUMIF($H$3:H$3,H$3,Sprint!$H17:H17)&gt;0,I17,0)</f>
        <v>0</v>
      </c>
      <c r="AE17" s="42">
        <f>IF(SUMIF($H$3:H$3,H$3,Sprint!$H17:H17)=0,$G17,0)</f>
        <v>10</v>
      </c>
      <c r="AF17" s="10">
        <f>IF(SUMIF($H$3:J$3,J$3,Sprint!$H17:J17)&gt;0,K17,0)</f>
        <v>0</v>
      </c>
      <c r="AG17" s="42">
        <f>IF(SUMIF($H$3:J$3,J$3,Sprint!$H17:J17)=0,$G17,0)</f>
        <v>10</v>
      </c>
      <c r="AH17" s="10">
        <f>IF(SUMIF($H$3:L$3,L$3,Sprint!$H17:L17)&gt;0,M17,0)</f>
        <v>0</v>
      </c>
      <c r="AI17" s="42">
        <f>IF(SUMIF($H$3:L$3,L$3,Sprint!$H17:L17)=0,$G17,0)</f>
        <v>10</v>
      </c>
      <c r="AJ17" s="10">
        <f>IF(SUMIF($H$3:N$3,N$3,Sprint!$H17:N17)&gt;0,O17,0)</f>
        <v>0</v>
      </c>
      <c r="AK17" s="42">
        <f>IF(SUMIF($H$3:N$3,N$3,Sprint!$H17:N17)=0,$G17,0)</f>
        <v>10</v>
      </c>
      <c r="AL17" s="10">
        <f>IF(SUMIF($H$3:P$3,P$3,Sprint!$H17:P17)&gt;0,Q17,0)</f>
        <v>0</v>
      </c>
      <c r="AM17" s="42">
        <f>IF(SUMIF($H$3:P$3,P$3,Sprint!$H17:P17)=0,$G17,0)</f>
        <v>10</v>
      </c>
      <c r="AN17" s="10">
        <f>IF(SUMIF($H$3:R$3,R$3,Sprint!$H17:R17)&gt;0,S17,0)</f>
        <v>4</v>
      </c>
      <c r="AO17" s="42">
        <f>IF(SUMIF($H$3:R$3,R$3,Sprint!$H17:R17)=0,$G17,0)</f>
        <v>0</v>
      </c>
      <c r="AP17" s="10">
        <f>IF(SUMIF($H$3:T$3,T$3,Sprint!$H17:T17)&gt;0,U17,0)</f>
        <v>2</v>
      </c>
      <c r="AQ17" s="42">
        <f>IF(SUMIF($H$3:T$3,T$3,Sprint!$H17:T17)=0,$G17,0)</f>
        <v>0</v>
      </c>
      <c r="AR17" s="10">
        <f>IF(SUMIF($H$3:V$3,V$3,Sprint!$H17:V17)&gt;0,W17,0)</f>
        <v>0</v>
      </c>
      <c r="AS17" s="42">
        <f>IF(SUMIF($H$3:V$3,V$3,Sprint!$H17:V17)=0,$G17,0)</f>
        <v>0</v>
      </c>
      <c r="AT17" s="10">
        <f>IF(SUMIF($H$3:X$3,X$3,Sprint!$H17:X17)&gt;0,Y17,0)</f>
        <v>0</v>
      </c>
      <c r="AU17" s="42">
        <f>IF(SUMIF($H$3:X$3,X$3,Sprint!$H17:X17)=0,$G17,0)</f>
        <v>0</v>
      </c>
      <c r="AV17" s="10">
        <f>IF(SUMIF($H$3:Z$3,Z$3,Sprint!$H17:Z17)&gt;0,AA17,0)</f>
        <v>0</v>
      </c>
      <c r="AW17" s="11">
        <f>IF(SUMIF($H$3:Z$3,Z$3,Sprint!$H17:Z17)=0,$G17,0)</f>
        <v>0</v>
      </c>
      <c r="AX17" s="20">
        <f t="shared" ca="1" si="2"/>
        <v>0</v>
      </c>
    </row>
    <row r="18" spans="1:50" x14ac:dyDescent="0.3">
      <c r="A18" s="34">
        <v>1</v>
      </c>
      <c r="B18" s="14">
        <f t="shared" ca="1" si="0"/>
        <v>2</v>
      </c>
      <c r="C18" s="15" t="s">
        <v>107</v>
      </c>
      <c r="D18" s="14">
        <v>9</v>
      </c>
      <c r="E18" s="14" t="str">
        <f t="shared" ca="1" si="1"/>
        <v>Task 5</v>
      </c>
      <c r="F18" s="14" t="s">
        <v>20</v>
      </c>
      <c r="G18" s="14">
        <v>12</v>
      </c>
      <c r="H18" s="14"/>
      <c r="I18" s="15"/>
      <c r="J18" s="14"/>
      <c r="K18" s="14"/>
      <c r="L18" s="14">
        <v>6</v>
      </c>
      <c r="M18" s="14">
        <v>4</v>
      </c>
      <c r="N18" s="14">
        <v>1</v>
      </c>
      <c r="O18" s="14">
        <v>3</v>
      </c>
      <c r="P18" s="14">
        <v>2</v>
      </c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32">
        <f>G18-SUMIF($H$3:$AA$3,H$3,Sprint!$H18:$AA18)</f>
        <v>3</v>
      </c>
      <c r="AC18" s="17">
        <f t="shared" ca="1" si="5"/>
        <v>3</v>
      </c>
      <c r="AD18" s="10">
        <f>IF(SUMIF($H$3:H$3,H$3,Sprint!$H18:H18)&gt;0,I18,0)</f>
        <v>0</v>
      </c>
      <c r="AE18" s="42">
        <f>IF(SUMIF($H$3:H$3,H$3,Sprint!$H18:H18)=0,$G18,0)</f>
        <v>12</v>
      </c>
      <c r="AF18" s="10">
        <f>IF(SUMIF($H$3:J$3,J$3,Sprint!$H18:J18)&gt;0,K18,0)</f>
        <v>0</v>
      </c>
      <c r="AG18" s="42">
        <f>IF(SUMIF($H$3:J$3,J$3,Sprint!$H18:J18)=0,$G18,0)</f>
        <v>12</v>
      </c>
      <c r="AH18" s="10">
        <f>IF(SUMIF($H$3:L$3,L$3,Sprint!$H18:L18)&gt;0,M18,0)</f>
        <v>4</v>
      </c>
      <c r="AI18" s="42">
        <f>IF(SUMIF($H$3:L$3,L$3,Sprint!$H18:L18)=0,$G18,0)</f>
        <v>0</v>
      </c>
      <c r="AJ18" s="10">
        <f>IF(SUMIF($H$3:N$3,N$3,Sprint!$H18:N18)&gt;0,O18,0)</f>
        <v>3</v>
      </c>
      <c r="AK18" s="42">
        <f>IF(SUMIF($H$3:N$3,N$3,Sprint!$H18:N18)=0,$G18,0)</f>
        <v>0</v>
      </c>
      <c r="AL18" s="10">
        <f>IF(SUMIF($H$3:P$3,P$3,Sprint!$H18:P18)&gt;0,Q18,0)</f>
        <v>0</v>
      </c>
      <c r="AM18" s="42">
        <f>IF(SUMIF($H$3:P$3,P$3,Sprint!$H18:P18)=0,$G18,0)</f>
        <v>0</v>
      </c>
      <c r="AN18" s="10">
        <f>IF(SUMIF($H$3:R$3,R$3,Sprint!$H18:R18)&gt;0,S18,0)</f>
        <v>0</v>
      </c>
      <c r="AO18" s="42">
        <f>IF(SUMIF($H$3:R$3,R$3,Sprint!$H18:R18)=0,$G18,0)</f>
        <v>0</v>
      </c>
      <c r="AP18" s="10">
        <f>IF(SUMIF($H$3:T$3,T$3,Sprint!$H18:T18)&gt;0,U18,0)</f>
        <v>0</v>
      </c>
      <c r="AQ18" s="42">
        <f>IF(SUMIF($H$3:T$3,T$3,Sprint!$H18:T18)=0,$G18,0)</f>
        <v>0</v>
      </c>
      <c r="AR18" s="10">
        <f>IF(SUMIF($H$3:V$3,V$3,Sprint!$H18:V18)&gt;0,W18,0)</f>
        <v>0</v>
      </c>
      <c r="AS18" s="42">
        <f>IF(SUMIF($H$3:V$3,V$3,Sprint!$H18:V18)=0,$G18,0)</f>
        <v>0</v>
      </c>
      <c r="AT18" s="10">
        <f>IF(SUMIF($H$3:X$3,X$3,Sprint!$H18:X18)&gt;0,Y18,0)</f>
        <v>0</v>
      </c>
      <c r="AU18" s="42">
        <f>IF(SUMIF($H$3:X$3,X$3,Sprint!$H18:X18)=0,$G18,0)</f>
        <v>0</v>
      </c>
      <c r="AV18" s="10">
        <f>IF(SUMIF($H$3:Z$3,Z$3,Sprint!$H18:Z18)&gt;0,AA18,0)</f>
        <v>0</v>
      </c>
      <c r="AW18" s="11">
        <f>IF(SUMIF($H$3:Z$3,Z$3,Sprint!$H18:Z18)=0,$G18,0)</f>
        <v>0</v>
      </c>
      <c r="AX18" s="20">
        <f t="shared" ca="1" si="2"/>
        <v>2</v>
      </c>
    </row>
    <row r="19" spans="1:50" x14ac:dyDescent="0.3">
      <c r="A19" s="34">
        <v>2</v>
      </c>
      <c r="B19" s="14">
        <f t="shared" ca="1" si="0"/>
        <v>1</v>
      </c>
      <c r="C19" s="14" t="s">
        <v>106</v>
      </c>
      <c r="D19" s="14">
        <v>1</v>
      </c>
      <c r="E19" s="14" t="str">
        <f t="shared" ca="1" si="1"/>
        <v>Task 1</v>
      </c>
      <c r="F19" s="14" t="s">
        <v>19</v>
      </c>
      <c r="G19" s="14">
        <v>8</v>
      </c>
      <c r="H19" s="14"/>
      <c r="I19" s="15"/>
      <c r="J19" s="14"/>
      <c r="K19" s="14"/>
      <c r="L19" s="14">
        <v>6</v>
      </c>
      <c r="M19" s="14">
        <v>4</v>
      </c>
      <c r="N19" s="14">
        <v>1</v>
      </c>
      <c r="O19" s="14">
        <v>3</v>
      </c>
      <c r="P19" s="14">
        <v>2</v>
      </c>
      <c r="Q19" s="14">
        <v>0</v>
      </c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32">
        <f>G19-SUMIF($H$3:$AA$3,H$3,Sprint!$H19:$AA19)</f>
        <v>-1</v>
      </c>
      <c r="AC19" s="17">
        <f t="shared" ca="1" si="5"/>
        <v>-1</v>
      </c>
      <c r="AD19" s="10">
        <f>IF(SUMIF($H$3:H$3,H$3,Sprint!$H19:H19)&gt;0,I19,0)</f>
        <v>0</v>
      </c>
      <c r="AE19" s="42">
        <f>IF(SUMIF($H$3:H$3,H$3,Sprint!$H19:H19)=0,$G19,0)</f>
        <v>8</v>
      </c>
      <c r="AF19" s="10">
        <f>IF(SUMIF($H$3:J$3,J$3,Sprint!$H19:J19)&gt;0,K19,0)</f>
        <v>0</v>
      </c>
      <c r="AG19" s="42">
        <f>IF(SUMIF($H$3:J$3,J$3,Sprint!$H19:J19)=0,$G19,0)</f>
        <v>8</v>
      </c>
      <c r="AH19" s="10">
        <f>IF(SUMIF($H$3:L$3,L$3,Sprint!$H19:L19)&gt;0,M19,0)</f>
        <v>4</v>
      </c>
      <c r="AI19" s="42">
        <f>IF(SUMIF($H$3:L$3,L$3,Sprint!$H19:L19)=0,$G19,0)</f>
        <v>0</v>
      </c>
      <c r="AJ19" s="10">
        <f>IF(SUMIF($H$3:N$3,N$3,Sprint!$H19:N19)&gt;0,O19,0)</f>
        <v>3</v>
      </c>
      <c r="AK19" s="42">
        <f>IF(SUMIF($H$3:N$3,N$3,Sprint!$H19:N19)=0,$G19,0)</f>
        <v>0</v>
      </c>
      <c r="AL19" s="10">
        <f>IF(SUMIF($H$3:P$3,P$3,Sprint!$H19:P19)&gt;0,Q19,0)</f>
        <v>0</v>
      </c>
      <c r="AM19" s="42">
        <f>IF(SUMIF($H$3:P$3,P$3,Sprint!$H19:P19)=0,$G19,0)</f>
        <v>0</v>
      </c>
      <c r="AN19" s="10">
        <f>IF(SUMIF($H$3:R$3,R$3,Sprint!$H19:R19)&gt;0,S19,0)</f>
        <v>0</v>
      </c>
      <c r="AO19" s="42">
        <f>IF(SUMIF($H$3:R$3,R$3,Sprint!$H19:R19)=0,$G19,0)</f>
        <v>0</v>
      </c>
      <c r="AP19" s="10">
        <f>IF(SUMIF($H$3:T$3,T$3,Sprint!$H19:T19)&gt;0,U19,0)</f>
        <v>0</v>
      </c>
      <c r="AQ19" s="42">
        <f>IF(SUMIF($H$3:T$3,T$3,Sprint!$H19:T19)=0,$G19,0)</f>
        <v>0</v>
      </c>
      <c r="AR19" s="10">
        <f>IF(SUMIF($H$3:V$3,V$3,Sprint!$H19:V19)&gt;0,W19,0)</f>
        <v>0</v>
      </c>
      <c r="AS19" s="42">
        <f>IF(SUMIF($H$3:V$3,V$3,Sprint!$H19:V19)=0,$G19,0)</f>
        <v>0</v>
      </c>
      <c r="AT19" s="10">
        <f>IF(SUMIF($H$3:X$3,X$3,Sprint!$H19:X19)&gt;0,Y19,0)</f>
        <v>0</v>
      </c>
      <c r="AU19" s="42">
        <f>IF(SUMIF($H$3:X$3,X$3,Sprint!$H19:X19)=0,$G19,0)</f>
        <v>0</v>
      </c>
      <c r="AV19" s="10">
        <f>IF(SUMIF($H$3:Z$3,Z$3,Sprint!$H19:Z19)&gt;0,AA19,0)</f>
        <v>0</v>
      </c>
      <c r="AW19" s="11">
        <f>IF(SUMIF($H$3:Z$3,Z$3,Sprint!$H19:Z19)=0,$G19,0)</f>
        <v>0</v>
      </c>
      <c r="AX19" s="20">
        <f t="shared" ca="1" si="2"/>
        <v>0</v>
      </c>
    </row>
    <row r="20" spans="1:50" x14ac:dyDescent="0.3">
      <c r="A20" s="22">
        <v>1</v>
      </c>
      <c r="B20" s="14">
        <f t="shared" ca="1" si="0"/>
        <v>4</v>
      </c>
      <c r="C20" s="14" t="s">
        <v>109</v>
      </c>
      <c r="D20" s="14">
        <v>4</v>
      </c>
      <c r="E20" s="14" t="str">
        <f t="shared" ca="1" si="1"/>
        <v>Task 11</v>
      </c>
      <c r="F20" s="14" t="s">
        <v>19</v>
      </c>
      <c r="G20" s="14">
        <v>12</v>
      </c>
      <c r="H20" s="14"/>
      <c r="I20" s="15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>
        <v>6</v>
      </c>
      <c r="AA20" s="14"/>
      <c r="AB20" s="32">
        <f>G20-SUMIF($H$3:$AA$3,H$3,Sprint!$H20:$AA20)</f>
        <v>6</v>
      </c>
      <c r="AC20" s="17">
        <f t="shared" ca="1" si="5"/>
        <v>6</v>
      </c>
      <c r="AD20" s="10">
        <f>IF(SUMIF($H$3:H$3,H$3,Sprint!$H20:H20)&gt;0,I20,0)</f>
        <v>0</v>
      </c>
      <c r="AE20" s="42">
        <f>IF(SUMIF($H$3:H$3,H$3,Sprint!$H20:H20)=0,$G20,0)</f>
        <v>12</v>
      </c>
      <c r="AF20" s="10">
        <f>IF(SUMIF($H$3:J$3,J$3,Sprint!$H20:J20)&gt;0,K20,0)</f>
        <v>0</v>
      </c>
      <c r="AG20" s="42">
        <f>IF(SUMIF($H$3:J$3,J$3,Sprint!$H20:J20)=0,$G20,0)</f>
        <v>12</v>
      </c>
      <c r="AH20" s="10">
        <f>IF(SUMIF($H$3:L$3,L$3,Sprint!$H20:L20)&gt;0,M20,0)</f>
        <v>0</v>
      </c>
      <c r="AI20" s="42">
        <f>IF(SUMIF($H$3:L$3,L$3,Sprint!$H20:L20)=0,$G20,0)</f>
        <v>12</v>
      </c>
      <c r="AJ20" s="10">
        <f>IF(SUMIF($H$3:N$3,N$3,Sprint!$H20:N20)&gt;0,O20,0)</f>
        <v>0</v>
      </c>
      <c r="AK20" s="42">
        <f>IF(SUMIF($H$3:N$3,N$3,Sprint!$H20:N20)=0,$G20,0)</f>
        <v>12</v>
      </c>
      <c r="AL20" s="10">
        <f>IF(SUMIF($H$3:P$3,P$3,Sprint!$H20:P20)&gt;0,Q20,0)</f>
        <v>0</v>
      </c>
      <c r="AM20" s="42">
        <f>IF(SUMIF($H$3:P$3,P$3,Sprint!$H20:P20)=0,$G20,0)</f>
        <v>12</v>
      </c>
      <c r="AN20" s="10">
        <f>IF(SUMIF($H$3:R$3,R$3,Sprint!$H20:R20)&gt;0,S20,0)</f>
        <v>0</v>
      </c>
      <c r="AO20" s="42">
        <f>IF(SUMIF($H$3:R$3,R$3,Sprint!$H20:R20)=0,$G20,0)</f>
        <v>12</v>
      </c>
      <c r="AP20" s="10">
        <f>IF(SUMIF($H$3:T$3,T$3,Sprint!$H20:T20)&gt;0,U20,0)</f>
        <v>0</v>
      </c>
      <c r="AQ20" s="42">
        <f>IF(SUMIF($H$3:T$3,T$3,Sprint!$H20:T20)=0,$G20,0)</f>
        <v>12</v>
      </c>
      <c r="AR20" s="10">
        <f>IF(SUMIF($H$3:V$3,V$3,Sprint!$H20:V20)&gt;0,W20,0)</f>
        <v>0</v>
      </c>
      <c r="AS20" s="42">
        <f>IF(SUMIF($H$3:V$3,V$3,Sprint!$H20:V20)=0,$G20,0)</f>
        <v>12</v>
      </c>
      <c r="AT20" s="10">
        <f>IF(SUMIF($H$3:X$3,X$3,Sprint!$H20:X20)&gt;0,Y20,0)</f>
        <v>0</v>
      </c>
      <c r="AU20" s="42">
        <f>IF(SUMIF($H$3:X$3,X$3,Sprint!$H20:X20)=0,$G20,0)</f>
        <v>12</v>
      </c>
      <c r="AV20" s="10">
        <f>IF(SUMIF($H$3:Z$3,Z$3,Sprint!$H20:Z20)&gt;0,AA20,0)</f>
        <v>0</v>
      </c>
      <c r="AW20" s="11">
        <f>IF(SUMIF($H$3:Z$3,Z$3,Sprint!$H20:Z20)=0,$G20,0)</f>
        <v>0</v>
      </c>
      <c r="AX20" s="20">
        <f t="shared" ca="1" si="2"/>
        <v>6</v>
      </c>
    </row>
    <row r="21" spans="1:50" x14ac:dyDescent="0.3">
      <c r="A21" s="22">
        <v>1</v>
      </c>
      <c r="B21" s="14">
        <f t="shared" ca="1" si="0"/>
        <v>4</v>
      </c>
      <c r="C21" s="14" t="s">
        <v>109</v>
      </c>
      <c r="D21" s="14">
        <v>4</v>
      </c>
      <c r="E21" s="14" t="str">
        <f t="shared" ca="1" si="1"/>
        <v>Task 11</v>
      </c>
      <c r="F21" s="14" t="s">
        <v>20</v>
      </c>
      <c r="G21" s="14">
        <v>6</v>
      </c>
      <c r="H21" s="14"/>
      <c r="I21" s="15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32">
        <f>G21-SUMIF($H$3:$AA$3,H$3,Sprint!$H21:$AA21)</f>
        <v>6</v>
      </c>
      <c r="AC21" s="17" t="str">
        <f t="shared" ca="1" si="5"/>
        <v/>
      </c>
      <c r="AD21" s="10">
        <f>IF(SUMIF($H$3:H$3,H$3,Sprint!$H21:H21)&gt;0,I21,0)</f>
        <v>0</v>
      </c>
      <c r="AE21" s="42">
        <f>IF(SUMIF($H$3:H$3,H$3,Sprint!$H21:H21)=0,$G21,0)</f>
        <v>6</v>
      </c>
      <c r="AF21" s="10">
        <f>IF(SUMIF($H$3:J$3,J$3,Sprint!$H21:J21)&gt;0,K21,0)</f>
        <v>0</v>
      </c>
      <c r="AG21" s="42">
        <f>IF(SUMIF($H$3:J$3,J$3,Sprint!$H21:J21)=0,$G21,0)</f>
        <v>6</v>
      </c>
      <c r="AH21" s="10">
        <f>IF(SUMIF($H$3:L$3,L$3,Sprint!$H21:L21)&gt;0,M21,0)</f>
        <v>0</v>
      </c>
      <c r="AI21" s="42">
        <f>IF(SUMIF($H$3:L$3,L$3,Sprint!$H21:L21)=0,$G21,0)</f>
        <v>6</v>
      </c>
      <c r="AJ21" s="10">
        <f>IF(SUMIF($H$3:N$3,N$3,Sprint!$H21:N21)&gt;0,O21,0)</f>
        <v>0</v>
      </c>
      <c r="AK21" s="42">
        <f>IF(SUMIF($H$3:N$3,N$3,Sprint!$H21:N21)=0,$G21,0)</f>
        <v>6</v>
      </c>
      <c r="AL21" s="10">
        <f>IF(SUMIF($H$3:P$3,P$3,Sprint!$H21:P21)&gt;0,Q21,0)</f>
        <v>0</v>
      </c>
      <c r="AM21" s="42">
        <f>IF(SUMIF($H$3:P$3,P$3,Sprint!$H21:P21)=0,$G21,0)</f>
        <v>6</v>
      </c>
      <c r="AN21" s="10">
        <f>IF(SUMIF($H$3:R$3,R$3,Sprint!$H21:R21)&gt;0,S21,0)</f>
        <v>0</v>
      </c>
      <c r="AO21" s="42">
        <f>IF(SUMIF($H$3:R$3,R$3,Sprint!$H21:R21)=0,$G21,0)</f>
        <v>6</v>
      </c>
      <c r="AP21" s="10">
        <f>IF(SUMIF($H$3:T$3,T$3,Sprint!$H21:T21)&gt;0,U21,0)</f>
        <v>0</v>
      </c>
      <c r="AQ21" s="42">
        <f>IF(SUMIF($H$3:T$3,T$3,Sprint!$H21:T21)=0,$G21,0)</f>
        <v>6</v>
      </c>
      <c r="AR21" s="10">
        <f>IF(SUMIF($H$3:V$3,V$3,Sprint!$H21:V21)&gt;0,W21,0)</f>
        <v>0</v>
      </c>
      <c r="AS21" s="42">
        <f>IF(SUMIF($H$3:V$3,V$3,Sprint!$H21:V21)=0,$G21,0)</f>
        <v>6</v>
      </c>
      <c r="AT21" s="10">
        <f>IF(SUMIF($H$3:X$3,X$3,Sprint!$H21:X21)&gt;0,Y21,0)</f>
        <v>0</v>
      </c>
      <c r="AU21" s="42">
        <f>IF(SUMIF($H$3:X$3,X$3,Sprint!$H21:X21)=0,$G21,0)</f>
        <v>6</v>
      </c>
      <c r="AV21" s="10">
        <f>IF(SUMIF($H$3:Z$3,Z$3,Sprint!$H21:Z21)&gt;0,AA21,0)</f>
        <v>0</v>
      </c>
      <c r="AW21" s="11">
        <f>IF(SUMIF($H$3:Z$3,Z$3,Sprint!$H21:Z21)=0,$G21,0)</f>
        <v>6</v>
      </c>
      <c r="AX21" s="20">
        <f t="shared" ca="1" si="2"/>
        <v>6</v>
      </c>
    </row>
    <row r="22" spans="1:50" x14ac:dyDescent="0.3">
      <c r="A22" s="22">
        <v>1</v>
      </c>
      <c r="B22" s="14">
        <f t="shared" ca="1" si="0"/>
        <v>5</v>
      </c>
      <c r="C22" s="14" t="s">
        <v>110</v>
      </c>
      <c r="D22" s="14">
        <v>12</v>
      </c>
      <c r="E22" s="14" t="str">
        <f t="shared" ca="1" si="1"/>
        <v>Task 13</v>
      </c>
      <c r="F22" s="14" t="s">
        <v>19</v>
      </c>
      <c r="G22" s="14">
        <v>4</v>
      </c>
      <c r="H22" s="14"/>
      <c r="I22" s="15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32">
        <f>G22-SUMIF($H$3:$AA$3,H$3,Sprint!$H22:$AA22)</f>
        <v>4</v>
      </c>
      <c r="AC22" s="17" t="str">
        <f t="shared" ca="1" si="5"/>
        <v/>
      </c>
      <c r="AD22" s="10">
        <f>IF(SUMIF($H$3:H$3,H$3,Sprint!$H22:H22)&gt;0,I22,0)</f>
        <v>0</v>
      </c>
      <c r="AE22" s="42">
        <f>IF(SUMIF($H$3:H$3,H$3,Sprint!$H22:H22)=0,$G22,0)</f>
        <v>4</v>
      </c>
      <c r="AF22" s="10">
        <f>IF(SUMIF($H$3:J$3,J$3,Sprint!$H22:J22)&gt;0,K22,0)</f>
        <v>0</v>
      </c>
      <c r="AG22" s="42">
        <f>IF(SUMIF($H$3:J$3,J$3,Sprint!$H22:J22)=0,$G22,0)</f>
        <v>4</v>
      </c>
      <c r="AH22" s="10">
        <f>IF(SUMIF($H$3:L$3,L$3,Sprint!$H22:L22)&gt;0,M22,0)</f>
        <v>0</v>
      </c>
      <c r="AI22" s="42">
        <f>IF(SUMIF($H$3:L$3,L$3,Sprint!$H22:L22)=0,$G22,0)</f>
        <v>4</v>
      </c>
      <c r="AJ22" s="10">
        <f>IF(SUMIF($H$3:N$3,N$3,Sprint!$H22:N22)&gt;0,O22,0)</f>
        <v>0</v>
      </c>
      <c r="AK22" s="42">
        <f>IF(SUMIF($H$3:N$3,N$3,Sprint!$H22:N22)=0,$G22,0)</f>
        <v>4</v>
      </c>
      <c r="AL22" s="10">
        <f>IF(SUMIF($H$3:P$3,P$3,Sprint!$H22:P22)&gt;0,Q22,0)</f>
        <v>0</v>
      </c>
      <c r="AM22" s="42">
        <f>IF(SUMIF($H$3:P$3,P$3,Sprint!$H22:P22)=0,$G22,0)</f>
        <v>4</v>
      </c>
      <c r="AN22" s="10">
        <f>IF(SUMIF($H$3:R$3,R$3,Sprint!$H22:R22)&gt;0,S22,0)</f>
        <v>0</v>
      </c>
      <c r="AO22" s="42">
        <f>IF(SUMIF($H$3:R$3,R$3,Sprint!$H22:R22)=0,$G22,0)</f>
        <v>4</v>
      </c>
      <c r="AP22" s="10">
        <f>IF(SUMIF($H$3:T$3,T$3,Sprint!$H22:T22)&gt;0,U22,0)</f>
        <v>0</v>
      </c>
      <c r="AQ22" s="42">
        <f>IF(SUMIF($H$3:T$3,T$3,Sprint!$H22:T22)=0,$G22,0)</f>
        <v>4</v>
      </c>
      <c r="AR22" s="10">
        <f>IF(SUMIF($H$3:V$3,V$3,Sprint!$H22:V22)&gt;0,W22,0)</f>
        <v>0</v>
      </c>
      <c r="AS22" s="42">
        <f>IF(SUMIF($H$3:V$3,V$3,Sprint!$H22:V22)=0,$G22,0)</f>
        <v>4</v>
      </c>
      <c r="AT22" s="10">
        <f>IF(SUMIF($H$3:X$3,X$3,Sprint!$H22:X22)&gt;0,Y22,0)</f>
        <v>0</v>
      </c>
      <c r="AU22" s="42">
        <f>IF(SUMIF($H$3:X$3,X$3,Sprint!$H22:X22)=0,$G22,0)</f>
        <v>4</v>
      </c>
      <c r="AV22" s="10">
        <f>IF(SUMIF($H$3:Z$3,Z$3,Sprint!$H22:Z22)&gt;0,AA22,0)</f>
        <v>0</v>
      </c>
      <c r="AW22" s="11">
        <f>IF(SUMIF($H$3:Z$3,Z$3,Sprint!$H22:Z22)=0,$G22,0)</f>
        <v>4</v>
      </c>
      <c r="AX22" s="20">
        <f t="shared" ca="1" si="2"/>
        <v>4</v>
      </c>
    </row>
    <row r="23" spans="1:50" x14ac:dyDescent="0.3">
      <c r="A23" s="22">
        <v>1</v>
      </c>
      <c r="B23" s="14">
        <f t="shared" ca="1" si="0"/>
        <v>6</v>
      </c>
      <c r="C23" s="14" t="s">
        <v>111</v>
      </c>
      <c r="D23" s="14">
        <v>20</v>
      </c>
      <c r="E23" s="14" t="str">
        <f t="shared" ca="1" si="1"/>
        <v>task 15</v>
      </c>
      <c r="F23" s="14" t="s">
        <v>19</v>
      </c>
      <c r="G23" s="14">
        <v>2</v>
      </c>
      <c r="H23" s="14"/>
      <c r="I23" s="15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32">
        <f>G23-SUMIF($H$3:$AA$3,H$3,Sprint!$H23:$AA23)</f>
        <v>2</v>
      </c>
      <c r="AC23" s="17" t="str">
        <f t="shared" ca="1" si="5"/>
        <v/>
      </c>
      <c r="AD23" s="10">
        <f>IF(SUMIF($H$3:H$3,H$3,Sprint!$H23:H23)&gt;0,I23,0)</f>
        <v>0</v>
      </c>
      <c r="AE23" s="42">
        <f>IF(SUMIF($H$3:H$3,H$3,Sprint!$H23:H23)=0,$G23,0)</f>
        <v>2</v>
      </c>
      <c r="AF23" s="10">
        <f>IF(SUMIF($H$3:J$3,J$3,Sprint!$H23:J23)&gt;0,K23,0)</f>
        <v>0</v>
      </c>
      <c r="AG23" s="42">
        <f>IF(SUMIF($H$3:J$3,J$3,Sprint!$H23:J23)=0,$G23,0)</f>
        <v>2</v>
      </c>
      <c r="AH23" s="10">
        <f>IF(SUMIF($H$3:L$3,L$3,Sprint!$H23:L23)&gt;0,M23,0)</f>
        <v>0</v>
      </c>
      <c r="AI23" s="42">
        <f>IF(SUMIF($H$3:L$3,L$3,Sprint!$H23:L23)=0,$G23,0)</f>
        <v>2</v>
      </c>
      <c r="AJ23" s="10">
        <f>IF(SUMIF($H$3:N$3,N$3,Sprint!$H23:N23)&gt;0,O23,0)</f>
        <v>0</v>
      </c>
      <c r="AK23" s="42">
        <f>IF(SUMIF($H$3:N$3,N$3,Sprint!$H23:N23)=0,$G23,0)</f>
        <v>2</v>
      </c>
      <c r="AL23" s="10">
        <f>IF(SUMIF($H$3:P$3,P$3,Sprint!$H23:P23)&gt;0,Q23,0)</f>
        <v>0</v>
      </c>
      <c r="AM23" s="42">
        <f>IF(SUMIF($H$3:P$3,P$3,Sprint!$H23:P23)=0,$G23,0)</f>
        <v>2</v>
      </c>
      <c r="AN23" s="10">
        <f>IF(SUMIF($H$3:R$3,R$3,Sprint!$H23:R23)&gt;0,S23,0)</f>
        <v>0</v>
      </c>
      <c r="AO23" s="42">
        <f>IF(SUMIF($H$3:R$3,R$3,Sprint!$H23:R23)=0,$G23,0)</f>
        <v>2</v>
      </c>
      <c r="AP23" s="10">
        <f>IF(SUMIF($H$3:T$3,T$3,Sprint!$H23:T23)&gt;0,U23,0)</f>
        <v>0</v>
      </c>
      <c r="AQ23" s="42">
        <f>IF(SUMIF($H$3:T$3,T$3,Sprint!$H23:T23)=0,$G23,0)</f>
        <v>2</v>
      </c>
      <c r="AR23" s="10">
        <f>IF(SUMIF($H$3:V$3,V$3,Sprint!$H23:V23)&gt;0,W23,0)</f>
        <v>0</v>
      </c>
      <c r="AS23" s="42">
        <f>IF(SUMIF($H$3:V$3,V$3,Sprint!$H23:V23)=0,$G23,0)</f>
        <v>2</v>
      </c>
      <c r="AT23" s="10">
        <f>IF(SUMIF($H$3:X$3,X$3,Sprint!$H23:X23)&gt;0,Y23,0)</f>
        <v>0</v>
      </c>
      <c r="AU23" s="42">
        <f>IF(SUMIF($H$3:X$3,X$3,Sprint!$H23:X23)=0,$G23,0)</f>
        <v>2</v>
      </c>
      <c r="AV23" s="10">
        <f>IF(SUMIF($H$3:Z$3,Z$3,Sprint!$H23:Z23)&gt;0,AA23,0)</f>
        <v>0</v>
      </c>
      <c r="AW23" s="11">
        <f>IF(SUMIF($H$3:Z$3,Z$3,Sprint!$H23:Z23)=0,$G23,0)</f>
        <v>2</v>
      </c>
      <c r="AX23" s="20">
        <f t="shared" ca="1" si="2"/>
        <v>2</v>
      </c>
    </row>
    <row r="24" spans="1:50" x14ac:dyDescent="0.3">
      <c r="A24" s="22">
        <v>1</v>
      </c>
      <c r="B24" s="14">
        <f t="shared" ca="1" si="0"/>
        <v>1</v>
      </c>
      <c r="C24" s="14" t="s">
        <v>106</v>
      </c>
      <c r="D24" s="14">
        <v>3</v>
      </c>
      <c r="E24" s="14" t="str">
        <f t="shared" ca="1" si="1"/>
        <v>Task 2</v>
      </c>
      <c r="F24" s="14" t="s">
        <v>20</v>
      </c>
      <c r="G24" s="14">
        <v>6</v>
      </c>
      <c r="H24" s="14"/>
      <c r="I24" s="15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>
        <v>4</v>
      </c>
      <c r="Y24" s="14">
        <v>2</v>
      </c>
      <c r="Z24" s="14">
        <v>2</v>
      </c>
      <c r="AA24" s="14">
        <v>0</v>
      </c>
      <c r="AB24" s="32">
        <f>G24-SUMIF($H$3:$AA$3,H$3,Sprint!$H24:$AA24)</f>
        <v>0</v>
      </c>
      <c r="AC24" s="17">
        <f t="shared" ca="1" si="5"/>
        <v>0</v>
      </c>
      <c r="AD24" s="10">
        <f>IF(SUMIF($H$3:H$3,H$3,Sprint!$H24:H24)&gt;0,I24,0)</f>
        <v>0</v>
      </c>
      <c r="AE24" s="42">
        <f>IF(SUMIF($H$3:H$3,H$3,Sprint!$H24:H24)=0,$G24,0)</f>
        <v>6</v>
      </c>
      <c r="AF24" s="10">
        <f>IF(SUMIF($H$3:J$3,J$3,Sprint!$H24:J24)&gt;0,K24,0)</f>
        <v>0</v>
      </c>
      <c r="AG24" s="42">
        <f>IF(SUMIF($H$3:J$3,J$3,Sprint!$H24:J24)=0,$G24,0)</f>
        <v>6</v>
      </c>
      <c r="AH24" s="10">
        <f>IF(SUMIF($H$3:L$3,L$3,Sprint!$H24:L24)&gt;0,M24,0)</f>
        <v>0</v>
      </c>
      <c r="AI24" s="42">
        <f>IF(SUMIF($H$3:L$3,L$3,Sprint!$H24:L24)=0,$G24,0)</f>
        <v>6</v>
      </c>
      <c r="AJ24" s="10">
        <f>IF(SUMIF($H$3:N$3,N$3,Sprint!$H24:N24)&gt;0,O24,0)</f>
        <v>0</v>
      </c>
      <c r="AK24" s="42">
        <f>IF(SUMIF($H$3:N$3,N$3,Sprint!$H24:N24)=0,$G24,0)</f>
        <v>6</v>
      </c>
      <c r="AL24" s="10">
        <f>IF(SUMIF($H$3:P$3,P$3,Sprint!$H24:P24)&gt;0,Q24,0)</f>
        <v>0</v>
      </c>
      <c r="AM24" s="42">
        <f>IF(SUMIF($H$3:P$3,P$3,Sprint!$H24:P24)=0,$G24,0)</f>
        <v>6</v>
      </c>
      <c r="AN24" s="10">
        <f>IF(SUMIF($H$3:R$3,R$3,Sprint!$H24:R24)&gt;0,S24,0)</f>
        <v>0</v>
      </c>
      <c r="AO24" s="42">
        <f>IF(SUMIF($H$3:R$3,R$3,Sprint!$H24:R24)=0,$G24,0)</f>
        <v>6</v>
      </c>
      <c r="AP24" s="10">
        <f>IF(SUMIF($H$3:T$3,T$3,Sprint!$H24:T24)&gt;0,U24,0)</f>
        <v>0</v>
      </c>
      <c r="AQ24" s="42">
        <f>IF(SUMIF($H$3:T$3,T$3,Sprint!$H24:T24)=0,$G24,0)</f>
        <v>6</v>
      </c>
      <c r="AR24" s="10">
        <f>IF(SUMIF($H$3:V$3,V$3,Sprint!$H24:V24)&gt;0,W24,0)</f>
        <v>0</v>
      </c>
      <c r="AS24" s="42">
        <f>IF(SUMIF($H$3:V$3,V$3,Sprint!$H24:V24)=0,$G24,0)</f>
        <v>6</v>
      </c>
      <c r="AT24" s="10">
        <f>IF(SUMIF($H$3:X$3,X$3,Sprint!$H24:X24)&gt;0,Y24,0)</f>
        <v>2</v>
      </c>
      <c r="AU24" s="42">
        <f>IF(SUMIF($H$3:X$3,X$3,Sprint!$H24:X24)=0,$G24,0)</f>
        <v>0</v>
      </c>
      <c r="AV24" s="10">
        <f>IF(SUMIF($H$3:Z$3,Z$3,Sprint!$H24:Z24)&gt;0,AA24,0)</f>
        <v>0</v>
      </c>
      <c r="AW24" s="11">
        <f>IF(SUMIF($H$3:Z$3,Z$3,Sprint!$H24:Z24)=0,$G24,0)</f>
        <v>0</v>
      </c>
      <c r="AX24" s="20">
        <f t="shared" ca="1" si="2"/>
        <v>0</v>
      </c>
    </row>
    <row r="25" spans="1:50" x14ac:dyDescent="0.3">
      <c r="A25" s="22"/>
      <c r="B25" s="14" t="str">
        <f t="shared" ca="1" si="0"/>
        <v/>
      </c>
      <c r="C25" s="14"/>
      <c r="D25" s="14"/>
      <c r="E25" s="14" t="str">
        <f t="shared" ca="1" si="1"/>
        <v/>
      </c>
      <c r="F25" s="14"/>
      <c r="G25" s="14"/>
      <c r="H25" s="14"/>
      <c r="I25" s="15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32">
        <f>G25-SUMIF($H$3:$AA$3,H$3,Sprint!$H25:$AA25)</f>
        <v>0</v>
      </c>
      <c r="AC25" s="17" t="str">
        <f t="shared" ca="1" si="5"/>
        <v/>
      </c>
      <c r="AD25" s="10">
        <f>IF(SUMIF($H$3:H$3,H$3,Sprint!$H25:H25)&gt;0,I25,0)</f>
        <v>0</v>
      </c>
      <c r="AE25" s="42">
        <f>IF(SUMIF($H$3:H$3,H$3,Sprint!$H25:H25)=0,$G25,0)</f>
        <v>0</v>
      </c>
      <c r="AF25" s="10">
        <f>IF(SUMIF($H$3:J$3,J$3,Sprint!$H25:J25)&gt;0,K25,0)</f>
        <v>0</v>
      </c>
      <c r="AG25" s="42">
        <f>IF(SUMIF($H$3:J$3,J$3,Sprint!$H25:J25)=0,$G25,0)</f>
        <v>0</v>
      </c>
      <c r="AH25" s="10">
        <f>IF(SUMIF($H$3:L$3,L$3,Sprint!$H25:L25)&gt;0,M25,0)</f>
        <v>0</v>
      </c>
      <c r="AI25" s="42">
        <f>IF(SUMIF($H$3:L$3,L$3,Sprint!$H25:L25)=0,$G25,0)</f>
        <v>0</v>
      </c>
      <c r="AJ25" s="10">
        <f>IF(SUMIF($H$3:N$3,N$3,Sprint!$H25:N25)&gt;0,O25,0)</f>
        <v>0</v>
      </c>
      <c r="AK25" s="42">
        <f>IF(SUMIF($H$3:N$3,N$3,Sprint!$H25:N25)=0,$G25,0)</f>
        <v>0</v>
      </c>
      <c r="AL25" s="10">
        <f>IF(SUMIF($H$3:P$3,P$3,Sprint!$H25:P25)&gt;0,Q25,0)</f>
        <v>0</v>
      </c>
      <c r="AM25" s="42">
        <f>IF(SUMIF($H$3:P$3,P$3,Sprint!$H25:P25)=0,$G25,0)</f>
        <v>0</v>
      </c>
      <c r="AN25" s="10">
        <f>IF(SUMIF($H$3:R$3,R$3,Sprint!$H25:R25)&gt;0,S25,0)</f>
        <v>0</v>
      </c>
      <c r="AO25" s="42">
        <f>IF(SUMIF($H$3:R$3,R$3,Sprint!$H25:R25)=0,$G25,0)</f>
        <v>0</v>
      </c>
      <c r="AP25" s="10">
        <f>IF(SUMIF($H$3:T$3,T$3,Sprint!$H25:T25)&gt;0,U25,0)</f>
        <v>0</v>
      </c>
      <c r="AQ25" s="42">
        <f>IF(SUMIF($H$3:T$3,T$3,Sprint!$H25:T25)=0,$G25,0)</f>
        <v>0</v>
      </c>
      <c r="AR25" s="10">
        <f>IF(SUMIF($H$3:V$3,V$3,Sprint!$H25:V25)&gt;0,W25,0)</f>
        <v>0</v>
      </c>
      <c r="AS25" s="42">
        <f>IF(SUMIF($H$3:V$3,V$3,Sprint!$H25:V25)=0,$G25,0)</f>
        <v>0</v>
      </c>
      <c r="AT25" s="10">
        <f>IF(SUMIF($H$3:X$3,X$3,Sprint!$H25:X25)&gt;0,Y25,0)</f>
        <v>0</v>
      </c>
      <c r="AU25" s="42">
        <f>IF(SUMIF($H$3:X$3,X$3,Sprint!$H25:X25)=0,$G25,0)</f>
        <v>0</v>
      </c>
      <c r="AV25" s="10">
        <f>IF(SUMIF($H$3:Z$3,Z$3,Sprint!$H25:Z25)&gt;0,AA25,0)</f>
        <v>0</v>
      </c>
      <c r="AW25" s="11">
        <f>IF(SUMIF($H$3:Z$3,Z$3,Sprint!$H25:Z25)=0,$G25,0)</f>
        <v>0</v>
      </c>
      <c r="AX25" s="20">
        <f t="shared" ca="1" si="2"/>
        <v>0</v>
      </c>
    </row>
    <row r="26" spans="1:50" x14ac:dyDescent="0.3">
      <c r="A26" s="22"/>
      <c r="B26" s="14" t="str">
        <f t="shared" ca="1" si="0"/>
        <v/>
      </c>
      <c r="C26" s="14"/>
      <c r="D26" s="14"/>
      <c r="E26" s="14" t="str">
        <f t="shared" ca="1" si="1"/>
        <v/>
      </c>
      <c r="F26" s="14"/>
      <c r="G26" s="14"/>
      <c r="H26" s="14"/>
      <c r="I26" s="15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32">
        <f>G26-SUMIF($H$3:$AA$3,H$3,Sprint!$H26:$AA26)</f>
        <v>0</v>
      </c>
      <c r="AC26" s="17" t="str">
        <f t="shared" ca="1" si="5"/>
        <v/>
      </c>
      <c r="AD26" s="10">
        <f>IF(SUMIF($H$3:H$3,H$3,Sprint!$H26:H26)&gt;0,I26,0)</f>
        <v>0</v>
      </c>
      <c r="AE26" s="42">
        <f>IF(SUMIF($H$3:H$3,H$3,Sprint!$H26:H26)=0,$G26,0)</f>
        <v>0</v>
      </c>
      <c r="AF26" s="10">
        <f>IF(SUMIF($H$3:J$3,J$3,Sprint!$H26:J26)&gt;0,K26,0)</f>
        <v>0</v>
      </c>
      <c r="AG26" s="42">
        <f>IF(SUMIF($H$3:J$3,J$3,Sprint!$H26:J26)=0,$G26,0)</f>
        <v>0</v>
      </c>
      <c r="AH26" s="10">
        <f>IF(SUMIF($H$3:L$3,L$3,Sprint!$H26:L26)&gt;0,M26,0)</f>
        <v>0</v>
      </c>
      <c r="AI26" s="42">
        <f>IF(SUMIF($H$3:L$3,L$3,Sprint!$H26:L26)=0,$G26,0)</f>
        <v>0</v>
      </c>
      <c r="AJ26" s="10">
        <f>IF(SUMIF($H$3:N$3,N$3,Sprint!$H26:N26)&gt;0,O26,0)</f>
        <v>0</v>
      </c>
      <c r="AK26" s="42">
        <f>IF(SUMIF($H$3:N$3,N$3,Sprint!$H26:N26)=0,$G26,0)</f>
        <v>0</v>
      </c>
      <c r="AL26" s="10">
        <f>IF(SUMIF($H$3:P$3,P$3,Sprint!$H26:P26)&gt;0,Q26,0)</f>
        <v>0</v>
      </c>
      <c r="AM26" s="42">
        <f>IF(SUMIF($H$3:P$3,P$3,Sprint!$H26:P26)=0,$G26,0)</f>
        <v>0</v>
      </c>
      <c r="AN26" s="10">
        <f>IF(SUMIF($H$3:R$3,R$3,Sprint!$H26:R26)&gt;0,S26,0)</f>
        <v>0</v>
      </c>
      <c r="AO26" s="42">
        <f>IF(SUMIF($H$3:R$3,R$3,Sprint!$H26:R26)=0,$G26,0)</f>
        <v>0</v>
      </c>
      <c r="AP26" s="10">
        <f>IF(SUMIF($H$3:T$3,T$3,Sprint!$H26:T26)&gt;0,U26,0)</f>
        <v>0</v>
      </c>
      <c r="AQ26" s="42">
        <f>IF(SUMIF($H$3:T$3,T$3,Sprint!$H26:T26)=0,$G26,0)</f>
        <v>0</v>
      </c>
      <c r="AR26" s="10">
        <f>IF(SUMIF($H$3:V$3,V$3,Sprint!$H26:V26)&gt;0,W26,0)</f>
        <v>0</v>
      </c>
      <c r="AS26" s="42">
        <f>IF(SUMIF($H$3:V$3,V$3,Sprint!$H26:V26)=0,$G26,0)</f>
        <v>0</v>
      </c>
      <c r="AT26" s="10">
        <f>IF(SUMIF($H$3:X$3,X$3,Sprint!$H26:X26)&gt;0,Y26,0)</f>
        <v>0</v>
      </c>
      <c r="AU26" s="42">
        <f>IF(SUMIF($H$3:X$3,X$3,Sprint!$H26:X26)=0,$G26,0)</f>
        <v>0</v>
      </c>
      <c r="AV26" s="10">
        <f>IF(SUMIF($H$3:Z$3,Z$3,Sprint!$H26:Z26)&gt;0,AA26,0)</f>
        <v>0</v>
      </c>
      <c r="AW26" s="11">
        <f>IF(SUMIF($H$3:Z$3,Z$3,Sprint!$H26:Z26)=0,$G26,0)</f>
        <v>0</v>
      </c>
      <c r="AX26" s="20">
        <f t="shared" ca="1" si="2"/>
        <v>0</v>
      </c>
    </row>
    <row r="27" spans="1:50" x14ac:dyDescent="0.3">
      <c r="A27" s="22"/>
      <c r="B27" s="14" t="str">
        <f t="shared" ca="1" si="0"/>
        <v/>
      </c>
      <c r="C27" s="14"/>
      <c r="D27" s="14"/>
      <c r="E27" s="14" t="str">
        <f t="shared" ca="1" si="1"/>
        <v/>
      </c>
      <c r="F27" s="14"/>
      <c r="G27" s="14"/>
      <c r="H27" s="14"/>
      <c r="I27" s="15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32">
        <f>G27-SUMIF($H$3:$AA$3,H$3,Sprint!$H27:$AA27)</f>
        <v>0</v>
      </c>
      <c r="AC27" s="17" t="str">
        <f t="shared" ca="1" si="5"/>
        <v/>
      </c>
      <c r="AD27" s="10">
        <f>IF(SUMIF($H$3:H$3,H$3,Sprint!$H27:H27)&gt;0,I27,0)</f>
        <v>0</v>
      </c>
      <c r="AE27" s="42">
        <f>IF(SUMIF($H$3:H$3,H$3,Sprint!$H27:H27)=0,$G27,0)</f>
        <v>0</v>
      </c>
      <c r="AF27" s="10">
        <f>IF(SUMIF($H$3:J$3,J$3,Sprint!$H27:J27)&gt;0,K27,0)</f>
        <v>0</v>
      </c>
      <c r="AG27" s="42">
        <f>IF(SUMIF($H$3:J$3,J$3,Sprint!$H27:J27)=0,$G27,0)</f>
        <v>0</v>
      </c>
      <c r="AH27" s="10">
        <f>IF(SUMIF($H$3:L$3,L$3,Sprint!$H27:L27)&gt;0,M27,0)</f>
        <v>0</v>
      </c>
      <c r="AI27" s="42">
        <f>IF(SUMIF($H$3:L$3,L$3,Sprint!$H27:L27)=0,$G27,0)</f>
        <v>0</v>
      </c>
      <c r="AJ27" s="10">
        <f>IF(SUMIF($H$3:N$3,N$3,Sprint!$H27:N27)&gt;0,O27,0)</f>
        <v>0</v>
      </c>
      <c r="AK27" s="42">
        <f>IF(SUMIF($H$3:N$3,N$3,Sprint!$H27:N27)=0,$G27,0)</f>
        <v>0</v>
      </c>
      <c r="AL27" s="10">
        <f>IF(SUMIF($H$3:P$3,P$3,Sprint!$H27:P27)&gt;0,Q27,0)</f>
        <v>0</v>
      </c>
      <c r="AM27" s="42">
        <f>IF(SUMIF($H$3:P$3,P$3,Sprint!$H27:P27)=0,$G27,0)</f>
        <v>0</v>
      </c>
      <c r="AN27" s="10">
        <f>IF(SUMIF($H$3:R$3,R$3,Sprint!$H27:R27)&gt;0,S27,0)</f>
        <v>0</v>
      </c>
      <c r="AO27" s="42">
        <f>IF(SUMIF($H$3:R$3,R$3,Sprint!$H27:R27)=0,$G27,0)</f>
        <v>0</v>
      </c>
      <c r="AP27" s="10">
        <f>IF(SUMIF($H$3:T$3,T$3,Sprint!$H27:T27)&gt;0,U27,0)</f>
        <v>0</v>
      </c>
      <c r="AQ27" s="42">
        <f>IF(SUMIF($H$3:T$3,T$3,Sprint!$H27:T27)=0,$G27,0)</f>
        <v>0</v>
      </c>
      <c r="AR27" s="10">
        <f>IF(SUMIF($H$3:V$3,V$3,Sprint!$H27:V27)&gt;0,W27,0)</f>
        <v>0</v>
      </c>
      <c r="AS27" s="42">
        <f>IF(SUMIF($H$3:V$3,V$3,Sprint!$H27:V27)=0,$G27,0)</f>
        <v>0</v>
      </c>
      <c r="AT27" s="10">
        <f>IF(SUMIF($H$3:X$3,X$3,Sprint!$H27:X27)&gt;0,Y27,0)</f>
        <v>0</v>
      </c>
      <c r="AU27" s="42">
        <f>IF(SUMIF($H$3:X$3,X$3,Sprint!$H27:X27)=0,$G27,0)</f>
        <v>0</v>
      </c>
      <c r="AV27" s="10">
        <f>IF(SUMIF($H$3:Z$3,Z$3,Sprint!$H27:Z27)&gt;0,AA27,0)</f>
        <v>0</v>
      </c>
      <c r="AW27" s="11">
        <f>IF(SUMIF($H$3:Z$3,Z$3,Sprint!$H27:Z27)=0,$G27,0)</f>
        <v>0</v>
      </c>
      <c r="AX27" s="20">
        <f t="shared" ca="1" si="2"/>
        <v>0</v>
      </c>
    </row>
    <row r="28" spans="1:50" x14ac:dyDescent="0.3">
      <c r="A28" s="22"/>
      <c r="B28" s="14" t="str">
        <f t="shared" ca="1" si="0"/>
        <v/>
      </c>
      <c r="C28" s="14"/>
      <c r="D28" s="14"/>
      <c r="E28" s="14" t="str">
        <f t="shared" ca="1" si="1"/>
        <v/>
      </c>
      <c r="F28" s="14"/>
      <c r="G28" s="14"/>
      <c r="H28" s="14"/>
      <c r="I28" s="15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32">
        <f>G28-SUMIF($H$3:$AA$3,H$3,Sprint!$H28:$AA28)</f>
        <v>0</v>
      </c>
      <c r="AC28" s="17" t="str">
        <f t="shared" ca="1" si="5"/>
        <v/>
      </c>
      <c r="AD28" s="10">
        <f>IF(SUMIF($H$3:H$3,H$3,Sprint!$H28:H28)&gt;0,I28,0)</f>
        <v>0</v>
      </c>
      <c r="AE28" s="42">
        <f>IF(SUMIF($H$3:H$3,H$3,Sprint!$H28:H28)=0,$G28,0)</f>
        <v>0</v>
      </c>
      <c r="AF28" s="10">
        <f>IF(SUMIF($H$3:J$3,J$3,Sprint!$H28:J28)&gt;0,K28,0)</f>
        <v>0</v>
      </c>
      <c r="AG28" s="42">
        <f>IF(SUMIF($H$3:J$3,J$3,Sprint!$H28:J28)=0,$G28,0)</f>
        <v>0</v>
      </c>
      <c r="AH28" s="10">
        <f>IF(SUMIF($H$3:L$3,L$3,Sprint!$H28:L28)&gt;0,M28,0)</f>
        <v>0</v>
      </c>
      <c r="AI28" s="42">
        <f>IF(SUMIF($H$3:L$3,L$3,Sprint!$H28:L28)=0,$G28,0)</f>
        <v>0</v>
      </c>
      <c r="AJ28" s="10">
        <f>IF(SUMIF($H$3:N$3,N$3,Sprint!$H28:N28)&gt;0,O28,0)</f>
        <v>0</v>
      </c>
      <c r="AK28" s="42">
        <f>IF(SUMIF($H$3:N$3,N$3,Sprint!$H28:N28)=0,$G28,0)</f>
        <v>0</v>
      </c>
      <c r="AL28" s="10">
        <f>IF(SUMIF($H$3:P$3,P$3,Sprint!$H28:P28)&gt;0,Q28,0)</f>
        <v>0</v>
      </c>
      <c r="AM28" s="42">
        <f>IF(SUMIF($H$3:P$3,P$3,Sprint!$H28:P28)=0,$G28,0)</f>
        <v>0</v>
      </c>
      <c r="AN28" s="10">
        <f>IF(SUMIF($H$3:R$3,R$3,Sprint!$H28:R28)&gt;0,S28,0)</f>
        <v>0</v>
      </c>
      <c r="AO28" s="42">
        <f>IF(SUMIF($H$3:R$3,R$3,Sprint!$H28:R28)=0,$G28,0)</f>
        <v>0</v>
      </c>
      <c r="AP28" s="10">
        <f>IF(SUMIF($H$3:T$3,T$3,Sprint!$H28:T28)&gt;0,U28,0)</f>
        <v>0</v>
      </c>
      <c r="AQ28" s="42">
        <f>IF(SUMIF($H$3:T$3,T$3,Sprint!$H28:T28)=0,$G28,0)</f>
        <v>0</v>
      </c>
      <c r="AR28" s="10">
        <f>IF(SUMIF($H$3:V$3,V$3,Sprint!$H28:V28)&gt;0,W28,0)</f>
        <v>0</v>
      </c>
      <c r="AS28" s="42">
        <f>IF(SUMIF($H$3:V$3,V$3,Sprint!$H28:V28)=0,$G28,0)</f>
        <v>0</v>
      </c>
      <c r="AT28" s="10">
        <f>IF(SUMIF($H$3:X$3,X$3,Sprint!$H28:X28)&gt;0,Y28,0)</f>
        <v>0</v>
      </c>
      <c r="AU28" s="42">
        <f>IF(SUMIF($H$3:X$3,X$3,Sprint!$H28:X28)=0,$G28,0)</f>
        <v>0</v>
      </c>
      <c r="AV28" s="10">
        <f>IF(SUMIF($H$3:Z$3,Z$3,Sprint!$H28:Z28)&gt;0,AA28,0)</f>
        <v>0</v>
      </c>
      <c r="AW28" s="11">
        <f>IF(SUMIF($H$3:Z$3,Z$3,Sprint!$H28:Z28)=0,$G28,0)</f>
        <v>0</v>
      </c>
      <c r="AX28" s="20">
        <f t="shared" ca="1" si="2"/>
        <v>0</v>
      </c>
    </row>
    <row r="29" spans="1:50" x14ac:dyDescent="0.3">
      <c r="A29" s="22"/>
      <c r="B29" s="14" t="str">
        <f t="shared" ca="1" si="0"/>
        <v/>
      </c>
      <c r="C29" s="14"/>
      <c r="D29" s="14"/>
      <c r="E29" s="14" t="str">
        <f t="shared" ca="1" si="1"/>
        <v/>
      </c>
      <c r="F29" s="14"/>
      <c r="G29" s="14"/>
      <c r="H29" s="14"/>
      <c r="I29" s="15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32">
        <f>G29-SUMIF($H$3:$AA$3,H$3,Sprint!$H29:$AA29)</f>
        <v>0</v>
      </c>
      <c r="AC29" s="17" t="str">
        <f t="shared" ca="1" si="5"/>
        <v/>
      </c>
      <c r="AD29" s="10">
        <f>IF(SUMIF($H$3:H$3,H$3,Sprint!$H29:H29)&gt;0,I29,0)</f>
        <v>0</v>
      </c>
      <c r="AE29" s="42">
        <f>IF(SUMIF($H$3:H$3,H$3,Sprint!$H29:H29)=0,$G29,0)</f>
        <v>0</v>
      </c>
      <c r="AF29" s="10">
        <f>IF(SUMIF($H$3:J$3,J$3,Sprint!$H29:J29)&gt;0,K29,0)</f>
        <v>0</v>
      </c>
      <c r="AG29" s="42">
        <f>IF(SUMIF($H$3:J$3,J$3,Sprint!$H29:J29)=0,$G29,0)</f>
        <v>0</v>
      </c>
      <c r="AH29" s="10">
        <f>IF(SUMIF($H$3:L$3,L$3,Sprint!$H29:L29)&gt;0,M29,0)</f>
        <v>0</v>
      </c>
      <c r="AI29" s="42">
        <f>IF(SUMIF($H$3:L$3,L$3,Sprint!$H29:L29)=0,$G29,0)</f>
        <v>0</v>
      </c>
      <c r="AJ29" s="10">
        <f>IF(SUMIF($H$3:N$3,N$3,Sprint!$H29:N29)&gt;0,O29,0)</f>
        <v>0</v>
      </c>
      <c r="AK29" s="42">
        <f>IF(SUMIF($H$3:N$3,N$3,Sprint!$H29:N29)=0,$G29,0)</f>
        <v>0</v>
      </c>
      <c r="AL29" s="10">
        <f>IF(SUMIF($H$3:P$3,P$3,Sprint!$H29:P29)&gt;0,Q29,0)</f>
        <v>0</v>
      </c>
      <c r="AM29" s="42">
        <f>IF(SUMIF($H$3:P$3,P$3,Sprint!$H29:P29)=0,$G29,0)</f>
        <v>0</v>
      </c>
      <c r="AN29" s="10">
        <f>IF(SUMIF($H$3:R$3,R$3,Sprint!$H29:R29)&gt;0,S29,0)</f>
        <v>0</v>
      </c>
      <c r="AO29" s="42">
        <f>IF(SUMIF($H$3:R$3,R$3,Sprint!$H29:R29)=0,$G29,0)</f>
        <v>0</v>
      </c>
      <c r="AP29" s="10">
        <f>IF(SUMIF($H$3:T$3,T$3,Sprint!$H29:T29)&gt;0,U29,0)</f>
        <v>0</v>
      </c>
      <c r="AQ29" s="42">
        <f>IF(SUMIF($H$3:T$3,T$3,Sprint!$H29:T29)=0,$G29,0)</f>
        <v>0</v>
      </c>
      <c r="AR29" s="10">
        <f>IF(SUMIF($H$3:V$3,V$3,Sprint!$H29:V29)&gt;0,W29,0)</f>
        <v>0</v>
      </c>
      <c r="AS29" s="42">
        <f>IF(SUMIF($H$3:V$3,V$3,Sprint!$H29:V29)=0,$G29,0)</f>
        <v>0</v>
      </c>
      <c r="AT29" s="10">
        <f>IF(SUMIF($H$3:X$3,X$3,Sprint!$H29:X29)&gt;0,Y29,0)</f>
        <v>0</v>
      </c>
      <c r="AU29" s="42">
        <f>IF(SUMIF($H$3:X$3,X$3,Sprint!$H29:X29)=0,$G29,0)</f>
        <v>0</v>
      </c>
      <c r="AV29" s="10">
        <f>IF(SUMIF($H$3:Z$3,Z$3,Sprint!$H29:Z29)&gt;0,AA29,0)</f>
        <v>0</v>
      </c>
      <c r="AW29" s="11">
        <f>IF(SUMIF($H$3:Z$3,Z$3,Sprint!$H29:Z29)=0,$G29,0)</f>
        <v>0</v>
      </c>
      <c r="AX29" s="20">
        <f t="shared" ca="1" si="2"/>
        <v>0</v>
      </c>
    </row>
    <row r="30" spans="1:50" x14ac:dyDescent="0.3">
      <c r="A30" s="22"/>
      <c r="B30" s="14" t="str">
        <f t="shared" ca="1" si="0"/>
        <v/>
      </c>
      <c r="C30" s="14"/>
      <c r="D30" s="14"/>
      <c r="E30" s="14" t="str">
        <f t="shared" ca="1" si="1"/>
        <v/>
      </c>
      <c r="F30" s="14"/>
      <c r="G30" s="14"/>
      <c r="H30" s="14"/>
      <c r="I30" s="15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32">
        <f>G30-SUMIF($H$3:$AA$3,H$3,Sprint!$H30:$AA30)</f>
        <v>0</v>
      </c>
      <c r="AC30" s="17" t="str">
        <f t="shared" ca="1" si="5"/>
        <v/>
      </c>
      <c r="AD30" s="10">
        <f>IF(SUMIF($H$3:H$3,H$3,Sprint!$H30:H30)&gt;0,I30,0)</f>
        <v>0</v>
      </c>
      <c r="AE30" s="42">
        <f>IF(SUMIF($H$3:H$3,H$3,Sprint!$H30:H30)=0,$G30,0)</f>
        <v>0</v>
      </c>
      <c r="AF30" s="10">
        <f>IF(SUMIF($H$3:J$3,J$3,Sprint!$H30:J30)&gt;0,K30,0)</f>
        <v>0</v>
      </c>
      <c r="AG30" s="42">
        <f>IF(SUMIF($H$3:J$3,J$3,Sprint!$H30:J30)=0,$G30,0)</f>
        <v>0</v>
      </c>
      <c r="AH30" s="10">
        <f>IF(SUMIF($H$3:L$3,L$3,Sprint!$H30:L30)&gt;0,M30,0)</f>
        <v>0</v>
      </c>
      <c r="AI30" s="42">
        <f>IF(SUMIF($H$3:L$3,L$3,Sprint!$H30:L30)=0,$G30,0)</f>
        <v>0</v>
      </c>
      <c r="AJ30" s="10">
        <f>IF(SUMIF($H$3:N$3,N$3,Sprint!$H30:N30)&gt;0,O30,0)</f>
        <v>0</v>
      </c>
      <c r="AK30" s="42">
        <f>IF(SUMIF($H$3:N$3,N$3,Sprint!$H30:N30)=0,$G30,0)</f>
        <v>0</v>
      </c>
      <c r="AL30" s="10">
        <f>IF(SUMIF($H$3:P$3,P$3,Sprint!$H30:P30)&gt;0,Q30,0)</f>
        <v>0</v>
      </c>
      <c r="AM30" s="42">
        <f>IF(SUMIF($H$3:P$3,P$3,Sprint!$H30:P30)=0,$G30,0)</f>
        <v>0</v>
      </c>
      <c r="AN30" s="10">
        <f>IF(SUMIF($H$3:R$3,R$3,Sprint!$H30:R30)&gt;0,S30,0)</f>
        <v>0</v>
      </c>
      <c r="AO30" s="42">
        <f>IF(SUMIF($H$3:R$3,R$3,Sprint!$H30:R30)=0,$G30,0)</f>
        <v>0</v>
      </c>
      <c r="AP30" s="10">
        <f>IF(SUMIF($H$3:T$3,T$3,Sprint!$H30:T30)&gt;0,U30,0)</f>
        <v>0</v>
      </c>
      <c r="AQ30" s="42">
        <f>IF(SUMIF($H$3:T$3,T$3,Sprint!$H30:T30)=0,$G30,0)</f>
        <v>0</v>
      </c>
      <c r="AR30" s="10">
        <f>IF(SUMIF($H$3:V$3,V$3,Sprint!$H30:V30)&gt;0,W30,0)</f>
        <v>0</v>
      </c>
      <c r="AS30" s="42">
        <f>IF(SUMIF($H$3:V$3,V$3,Sprint!$H30:V30)=0,$G30,0)</f>
        <v>0</v>
      </c>
      <c r="AT30" s="10">
        <f>IF(SUMIF($H$3:X$3,X$3,Sprint!$H30:X30)&gt;0,Y30,0)</f>
        <v>0</v>
      </c>
      <c r="AU30" s="42">
        <f>IF(SUMIF($H$3:X$3,X$3,Sprint!$H30:X30)=0,$G30,0)</f>
        <v>0</v>
      </c>
      <c r="AV30" s="10">
        <f>IF(SUMIF($H$3:Z$3,Z$3,Sprint!$H30:Z30)&gt;0,AA30,0)</f>
        <v>0</v>
      </c>
      <c r="AW30" s="11">
        <f>IF(SUMIF($H$3:Z$3,Z$3,Sprint!$H30:Z30)=0,$G30,0)</f>
        <v>0</v>
      </c>
      <c r="AX30" s="20">
        <f t="shared" ca="1" si="2"/>
        <v>0</v>
      </c>
    </row>
    <row r="31" spans="1:50" x14ac:dyDescent="0.3">
      <c r="A31" s="22"/>
      <c r="B31" s="14" t="str">
        <f t="shared" ca="1" si="0"/>
        <v/>
      </c>
      <c r="C31" s="14"/>
      <c r="D31" s="14"/>
      <c r="E31" s="14" t="str">
        <f t="shared" ca="1" si="1"/>
        <v/>
      </c>
      <c r="F31" s="14"/>
      <c r="G31" s="14"/>
      <c r="H31" s="14"/>
      <c r="I31" s="15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32">
        <f>G31-SUMIF($H$3:$AA$3,H$3,Sprint!$H31:$AA31)</f>
        <v>0</v>
      </c>
      <c r="AC31" s="17" t="str">
        <f t="shared" ca="1" si="5"/>
        <v/>
      </c>
      <c r="AD31" s="10">
        <f>IF(SUMIF($H$3:H$3,H$3,Sprint!$H31:H31)&gt;0,I31,0)</f>
        <v>0</v>
      </c>
      <c r="AE31" s="42">
        <f>IF(SUMIF($H$3:H$3,H$3,Sprint!$H31:H31)=0,$G31,0)</f>
        <v>0</v>
      </c>
      <c r="AF31" s="10">
        <f>IF(SUMIF($H$3:J$3,J$3,Sprint!$H31:J31)&gt;0,K31,0)</f>
        <v>0</v>
      </c>
      <c r="AG31" s="42">
        <f>IF(SUMIF($H$3:J$3,J$3,Sprint!$H31:J31)=0,$G31,0)</f>
        <v>0</v>
      </c>
      <c r="AH31" s="10">
        <f>IF(SUMIF($H$3:L$3,L$3,Sprint!$H31:L31)&gt;0,M31,0)</f>
        <v>0</v>
      </c>
      <c r="AI31" s="42">
        <f>IF(SUMIF($H$3:L$3,L$3,Sprint!$H31:L31)=0,$G31,0)</f>
        <v>0</v>
      </c>
      <c r="AJ31" s="10">
        <f>IF(SUMIF($H$3:N$3,N$3,Sprint!$H31:N31)&gt;0,O31,0)</f>
        <v>0</v>
      </c>
      <c r="AK31" s="42">
        <f>IF(SUMIF($H$3:N$3,N$3,Sprint!$H31:N31)=0,$G31,0)</f>
        <v>0</v>
      </c>
      <c r="AL31" s="10">
        <f>IF(SUMIF($H$3:P$3,P$3,Sprint!$H31:P31)&gt;0,Q31,0)</f>
        <v>0</v>
      </c>
      <c r="AM31" s="42">
        <f>IF(SUMIF($H$3:P$3,P$3,Sprint!$H31:P31)=0,$G31,0)</f>
        <v>0</v>
      </c>
      <c r="AN31" s="10">
        <f>IF(SUMIF($H$3:R$3,R$3,Sprint!$H31:R31)&gt;0,S31,0)</f>
        <v>0</v>
      </c>
      <c r="AO31" s="42">
        <f>IF(SUMIF($H$3:R$3,R$3,Sprint!$H31:R31)=0,$G31,0)</f>
        <v>0</v>
      </c>
      <c r="AP31" s="10">
        <f>IF(SUMIF($H$3:T$3,T$3,Sprint!$H31:T31)&gt;0,U31,0)</f>
        <v>0</v>
      </c>
      <c r="AQ31" s="42">
        <f>IF(SUMIF($H$3:T$3,T$3,Sprint!$H31:T31)=0,$G31,0)</f>
        <v>0</v>
      </c>
      <c r="AR31" s="10">
        <f>IF(SUMIF($H$3:V$3,V$3,Sprint!$H31:V31)&gt;0,W31,0)</f>
        <v>0</v>
      </c>
      <c r="AS31" s="42">
        <f>IF(SUMIF($H$3:V$3,V$3,Sprint!$H31:V31)=0,$G31,0)</f>
        <v>0</v>
      </c>
      <c r="AT31" s="10">
        <f>IF(SUMIF($H$3:X$3,X$3,Sprint!$H31:X31)&gt;0,Y31,0)</f>
        <v>0</v>
      </c>
      <c r="AU31" s="42">
        <f>IF(SUMIF($H$3:X$3,X$3,Sprint!$H31:X31)=0,$G31,0)</f>
        <v>0</v>
      </c>
      <c r="AV31" s="10">
        <f>IF(SUMIF($H$3:Z$3,Z$3,Sprint!$H31:Z31)&gt;0,AA31,0)</f>
        <v>0</v>
      </c>
      <c r="AW31" s="11">
        <f>IF(SUMIF($H$3:Z$3,Z$3,Sprint!$H31:Z31)=0,$G31,0)</f>
        <v>0</v>
      </c>
      <c r="AX31" s="20">
        <f t="shared" ca="1" si="2"/>
        <v>0</v>
      </c>
    </row>
    <row r="32" spans="1:50" x14ac:dyDescent="0.3">
      <c r="A32" s="22"/>
      <c r="B32" s="14" t="str">
        <f t="shared" ca="1" si="0"/>
        <v/>
      </c>
      <c r="C32" s="14"/>
      <c r="D32" s="14"/>
      <c r="E32" s="14" t="str">
        <f t="shared" ca="1" si="1"/>
        <v/>
      </c>
      <c r="F32" s="14"/>
      <c r="G32" s="14"/>
      <c r="H32" s="14"/>
      <c r="I32" s="15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32">
        <f>G32-SUMIF($H$3:$AA$3,H$3,Sprint!$H32:$AA32)</f>
        <v>0</v>
      </c>
      <c r="AC32" s="17" t="str">
        <f t="shared" ca="1" si="5"/>
        <v/>
      </c>
      <c r="AD32" s="10">
        <f>IF(SUMIF($H$3:H$3,H$3,Sprint!$H32:H32)&gt;0,I32,0)</f>
        <v>0</v>
      </c>
      <c r="AE32" s="42">
        <f>IF(SUMIF($H$3:H$3,H$3,Sprint!$H32:H32)=0,$G32,0)</f>
        <v>0</v>
      </c>
      <c r="AF32" s="10">
        <f>IF(SUMIF($H$3:J$3,J$3,Sprint!$H32:J32)&gt;0,K32,0)</f>
        <v>0</v>
      </c>
      <c r="AG32" s="42">
        <f>IF(SUMIF($H$3:J$3,J$3,Sprint!$H32:J32)=0,$G32,0)</f>
        <v>0</v>
      </c>
      <c r="AH32" s="10">
        <f>IF(SUMIF($H$3:L$3,L$3,Sprint!$H32:L32)&gt;0,M32,0)</f>
        <v>0</v>
      </c>
      <c r="AI32" s="42">
        <f>IF(SUMIF($H$3:L$3,L$3,Sprint!$H32:L32)=0,$G32,0)</f>
        <v>0</v>
      </c>
      <c r="AJ32" s="10">
        <f>IF(SUMIF($H$3:N$3,N$3,Sprint!$H32:N32)&gt;0,O32,0)</f>
        <v>0</v>
      </c>
      <c r="AK32" s="42">
        <f>IF(SUMIF($H$3:N$3,N$3,Sprint!$H32:N32)=0,$G32,0)</f>
        <v>0</v>
      </c>
      <c r="AL32" s="10">
        <f>IF(SUMIF($H$3:P$3,P$3,Sprint!$H32:P32)&gt;0,Q32,0)</f>
        <v>0</v>
      </c>
      <c r="AM32" s="42">
        <f>IF(SUMIF($H$3:P$3,P$3,Sprint!$H32:P32)=0,$G32,0)</f>
        <v>0</v>
      </c>
      <c r="AN32" s="10">
        <f>IF(SUMIF($H$3:R$3,R$3,Sprint!$H32:R32)&gt;0,S32,0)</f>
        <v>0</v>
      </c>
      <c r="AO32" s="42">
        <f>IF(SUMIF($H$3:R$3,R$3,Sprint!$H32:R32)=0,$G32,0)</f>
        <v>0</v>
      </c>
      <c r="AP32" s="10">
        <f>IF(SUMIF($H$3:T$3,T$3,Sprint!$H32:T32)&gt;0,U32,0)</f>
        <v>0</v>
      </c>
      <c r="AQ32" s="42">
        <f>IF(SUMIF($H$3:T$3,T$3,Sprint!$H32:T32)=0,$G32,0)</f>
        <v>0</v>
      </c>
      <c r="AR32" s="10">
        <f>IF(SUMIF($H$3:V$3,V$3,Sprint!$H32:V32)&gt;0,W32,0)</f>
        <v>0</v>
      </c>
      <c r="AS32" s="42">
        <f>IF(SUMIF($H$3:V$3,V$3,Sprint!$H32:V32)=0,$G32,0)</f>
        <v>0</v>
      </c>
      <c r="AT32" s="10">
        <f>IF(SUMIF($H$3:X$3,X$3,Sprint!$H32:X32)&gt;0,Y32,0)</f>
        <v>0</v>
      </c>
      <c r="AU32" s="42">
        <f>IF(SUMIF($H$3:X$3,X$3,Sprint!$H32:X32)=0,$G32,0)</f>
        <v>0</v>
      </c>
      <c r="AV32" s="10">
        <f>IF(SUMIF($H$3:Z$3,Z$3,Sprint!$H32:Z32)&gt;0,AA32,0)</f>
        <v>0</v>
      </c>
      <c r="AW32" s="11">
        <f>IF(SUMIF($H$3:Z$3,Z$3,Sprint!$H32:Z32)=0,$G32,0)</f>
        <v>0</v>
      </c>
      <c r="AX32" s="20">
        <f t="shared" ca="1" si="2"/>
        <v>0</v>
      </c>
    </row>
    <row r="33" spans="1:50" x14ac:dyDescent="0.3">
      <c r="A33" s="22"/>
      <c r="B33" s="14" t="str">
        <f t="shared" ca="1" si="0"/>
        <v/>
      </c>
      <c r="C33" s="14"/>
      <c r="D33" s="14"/>
      <c r="E33" s="14" t="str">
        <f t="shared" ca="1" si="1"/>
        <v/>
      </c>
      <c r="F33" s="14"/>
      <c r="G33" s="14"/>
      <c r="H33" s="14"/>
      <c r="I33" s="15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32">
        <f>G33-SUMIF($H$3:$AA$3,H$3,Sprint!$H33:$AA33)</f>
        <v>0</v>
      </c>
      <c r="AC33" s="17" t="str">
        <f t="shared" ca="1" si="5"/>
        <v/>
      </c>
      <c r="AD33" s="10">
        <f>IF(SUMIF($H$3:H$3,H$3,Sprint!$H33:H33)&gt;0,I33,0)</f>
        <v>0</v>
      </c>
      <c r="AE33" s="42">
        <f>IF(SUMIF($H$3:H$3,H$3,Sprint!$H33:H33)=0,$G33,0)</f>
        <v>0</v>
      </c>
      <c r="AF33" s="10">
        <f>IF(SUMIF($H$3:J$3,J$3,Sprint!$H33:J33)&gt;0,K33,0)</f>
        <v>0</v>
      </c>
      <c r="AG33" s="42">
        <f>IF(SUMIF($H$3:J$3,J$3,Sprint!$H33:J33)=0,$G33,0)</f>
        <v>0</v>
      </c>
      <c r="AH33" s="10">
        <f>IF(SUMIF($H$3:L$3,L$3,Sprint!$H33:L33)&gt;0,M33,0)</f>
        <v>0</v>
      </c>
      <c r="AI33" s="42">
        <f>IF(SUMIF($H$3:L$3,L$3,Sprint!$H33:L33)=0,$G33,0)</f>
        <v>0</v>
      </c>
      <c r="AJ33" s="10">
        <f>IF(SUMIF($H$3:N$3,N$3,Sprint!$H33:N33)&gt;0,O33,0)</f>
        <v>0</v>
      </c>
      <c r="AK33" s="42">
        <f>IF(SUMIF($H$3:N$3,N$3,Sprint!$H33:N33)=0,$G33,0)</f>
        <v>0</v>
      </c>
      <c r="AL33" s="10">
        <f>IF(SUMIF($H$3:P$3,P$3,Sprint!$H33:P33)&gt;0,Q33,0)</f>
        <v>0</v>
      </c>
      <c r="AM33" s="42">
        <f>IF(SUMIF($H$3:P$3,P$3,Sprint!$H33:P33)=0,$G33,0)</f>
        <v>0</v>
      </c>
      <c r="AN33" s="10">
        <f>IF(SUMIF($H$3:R$3,R$3,Sprint!$H33:R33)&gt;0,S33,0)</f>
        <v>0</v>
      </c>
      <c r="AO33" s="42">
        <f>IF(SUMIF($H$3:R$3,R$3,Sprint!$H33:R33)=0,$G33,0)</f>
        <v>0</v>
      </c>
      <c r="AP33" s="10">
        <f>IF(SUMIF($H$3:T$3,T$3,Sprint!$H33:T33)&gt;0,U33,0)</f>
        <v>0</v>
      </c>
      <c r="AQ33" s="42">
        <f>IF(SUMIF($H$3:T$3,T$3,Sprint!$H33:T33)=0,$G33,0)</f>
        <v>0</v>
      </c>
      <c r="AR33" s="10">
        <f>IF(SUMIF($H$3:V$3,V$3,Sprint!$H33:V33)&gt;0,W33,0)</f>
        <v>0</v>
      </c>
      <c r="AS33" s="42">
        <f>IF(SUMIF($H$3:V$3,V$3,Sprint!$H33:V33)=0,$G33,0)</f>
        <v>0</v>
      </c>
      <c r="AT33" s="10">
        <f>IF(SUMIF($H$3:X$3,X$3,Sprint!$H33:X33)&gt;0,Y33,0)</f>
        <v>0</v>
      </c>
      <c r="AU33" s="42">
        <f>IF(SUMIF($H$3:X$3,X$3,Sprint!$H33:X33)=0,$G33,0)</f>
        <v>0</v>
      </c>
      <c r="AV33" s="10">
        <f>IF(SUMIF($H$3:Z$3,Z$3,Sprint!$H33:Z33)&gt;0,AA33,0)</f>
        <v>0</v>
      </c>
      <c r="AW33" s="11">
        <f>IF(SUMIF($H$3:Z$3,Z$3,Sprint!$H33:Z33)=0,$G33,0)</f>
        <v>0</v>
      </c>
      <c r="AX33" s="20">
        <f t="shared" ca="1" si="2"/>
        <v>0</v>
      </c>
    </row>
    <row r="34" spans="1:50" x14ac:dyDescent="0.3">
      <c r="A34" s="22"/>
      <c r="B34" s="14" t="str">
        <f t="shared" ca="1" si="0"/>
        <v/>
      </c>
      <c r="C34" s="14"/>
      <c r="D34" s="14"/>
      <c r="E34" s="14" t="str">
        <f t="shared" ca="1" si="1"/>
        <v/>
      </c>
      <c r="F34" s="14"/>
      <c r="G34" s="14"/>
      <c r="H34" s="14"/>
      <c r="I34" s="15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32">
        <f>G34-SUMIF($H$3:$AA$3,H$3,Sprint!$H34:$AA34)</f>
        <v>0</v>
      </c>
      <c r="AC34" s="17" t="str">
        <f t="shared" ca="1" si="5"/>
        <v/>
      </c>
      <c r="AD34" s="10">
        <f>IF(SUMIF($H$3:H$3,H$3,Sprint!$H34:H34)&gt;0,I34,0)</f>
        <v>0</v>
      </c>
      <c r="AE34" s="42">
        <f>IF(SUMIF($H$3:H$3,H$3,Sprint!$H34:H34)=0,$G34,0)</f>
        <v>0</v>
      </c>
      <c r="AF34" s="10">
        <f>IF(SUMIF($H$3:J$3,J$3,Sprint!$H34:J34)&gt;0,K34,0)</f>
        <v>0</v>
      </c>
      <c r="AG34" s="42">
        <f>IF(SUMIF($H$3:J$3,J$3,Sprint!$H34:J34)=0,$G34,0)</f>
        <v>0</v>
      </c>
      <c r="AH34" s="10">
        <f>IF(SUMIF($H$3:L$3,L$3,Sprint!$H34:L34)&gt;0,M34,0)</f>
        <v>0</v>
      </c>
      <c r="AI34" s="42">
        <f>IF(SUMIF($H$3:L$3,L$3,Sprint!$H34:L34)=0,$G34,0)</f>
        <v>0</v>
      </c>
      <c r="AJ34" s="10">
        <f>IF(SUMIF($H$3:N$3,N$3,Sprint!$H34:N34)&gt;0,O34,0)</f>
        <v>0</v>
      </c>
      <c r="AK34" s="42">
        <f>IF(SUMIF($H$3:N$3,N$3,Sprint!$H34:N34)=0,$G34,0)</f>
        <v>0</v>
      </c>
      <c r="AL34" s="10">
        <f>IF(SUMIF($H$3:P$3,P$3,Sprint!$H34:P34)&gt;0,Q34,0)</f>
        <v>0</v>
      </c>
      <c r="AM34" s="42">
        <f>IF(SUMIF($H$3:P$3,P$3,Sprint!$H34:P34)=0,$G34,0)</f>
        <v>0</v>
      </c>
      <c r="AN34" s="10">
        <f>IF(SUMIF($H$3:R$3,R$3,Sprint!$H34:R34)&gt;0,S34,0)</f>
        <v>0</v>
      </c>
      <c r="AO34" s="42">
        <f>IF(SUMIF($H$3:R$3,R$3,Sprint!$H34:R34)=0,$G34,0)</f>
        <v>0</v>
      </c>
      <c r="AP34" s="10">
        <f>IF(SUMIF($H$3:T$3,T$3,Sprint!$H34:T34)&gt;0,U34,0)</f>
        <v>0</v>
      </c>
      <c r="AQ34" s="42">
        <f>IF(SUMIF($H$3:T$3,T$3,Sprint!$H34:T34)=0,$G34,0)</f>
        <v>0</v>
      </c>
      <c r="AR34" s="10">
        <f>IF(SUMIF($H$3:V$3,V$3,Sprint!$H34:V34)&gt;0,W34,0)</f>
        <v>0</v>
      </c>
      <c r="AS34" s="42">
        <f>IF(SUMIF($H$3:V$3,V$3,Sprint!$H34:V34)=0,$G34,0)</f>
        <v>0</v>
      </c>
      <c r="AT34" s="10">
        <f>IF(SUMIF($H$3:X$3,X$3,Sprint!$H34:X34)&gt;0,Y34,0)</f>
        <v>0</v>
      </c>
      <c r="AU34" s="42">
        <f>IF(SUMIF($H$3:X$3,X$3,Sprint!$H34:X34)=0,$G34,0)</f>
        <v>0</v>
      </c>
      <c r="AV34" s="10">
        <f>IF(SUMIF($H$3:Z$3,Z$3,Sprint!$H34:Z34)&gt;0,AA34,0)</f>
        <v>0</v>
      </c>
      <c r="AW34" s="11">
        <f>IF(SUMIF($H$3:Z$3,Z$3,Sprint!$H34:Z34)=0,$G34,0)</f>
        <v>0</v>
      </c>
      <c r="AX34" s="20">
        <f t="shared" ca="1" si="2"/>
        <v>0</v>
      </c>
    </row>
    <row r="35" spans="1:50" x14ac:dyDescent="0.3">
      <c r="A35" s="22"/>
      <c r="B35" s="14" t="str">
        <f t="shared" ca="1" si="0"/>
        <v/>
      </c>
      <c r="C35" s="14"/>
      <c r="D35" s="14"/>
      <c r="E35" s="14" t="str">
        <f t="shared" ref="E35:E66" ca="1" si="6">_xlfn.IFNA(INDEX(TaskNames,MATCH(D35,TaskList,0)),"")</f>
        <v/>
      </c>
      <c r="F35" s="14"/>
      <c r="G35" s="14"/>
      <c r="H35" s="14"/>
      <c r="I35" s="15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32">
        <f>G35-SUMIF($H$3:$AA$3,H$3,Sprint!$H35:$AA35)</f>
        <v>0</v>
      </c>
      <c r="AC35" s="17" t="str">
        <f t="shared" ca="1" si="5"/>
        <v/>
      </c>
      <c r="AD35" s="10">
        <f>IF(SUMIF($H$3:H$3,H$3,Sprint!$H35:H35)&gt;0,I35,0)</f>
        <v>0</v>
      </c>
      <c r="AE35" s="42">
        <f>IF(SUMIF($H$3:H$3,H$3,Sprint!$H35:H35)=0,$G35,0)</f>
        <v>0</v>
      </c>
      <c r="AF35" s="10">
        <f>IF(SUMIF($H$3:J$3,J$3,Sprint!$H35:J35)&gt;0,K35,0)</f>
        <v>0</v>
      </c>
      <c r="AG35" s="42">
        <f>IF(SUMIF($H$3:J$3,J$3,Sprint!$H35:J35)=0,$G35,0)</f>
        <v>0</v>
      </c>
      <c r="AH35" s="10">
        <f>IF(SUMIF($H$3:L$3,L$3,Sprint!$H35:L35)&gt;0,M35,0)</f>
        <v>0</v>
      </c>
      <c r="AI35" s="42">
        <f>IF(SUMIF($H$3:L$3,L$3,Sprint!$H35:L35)=0,$G35,0)</f>
        <v>0</v>
      </c>
      <c r="AJ35" s="10">
        <f>IF(SUMIF($H$3:N$3,N$3,Sprint!$H35:N35)&gt;0,O35,0)</f>
        <v>0</v>
      </c>
      <c r="AK35" s="42">
        <f>IF(SUMIF($H$3:N$3,N$3,Sprint!$H35:N35)=0,$G35,0)</f>
        <v>0</v>
      </c>
      <c r="AL35" s="10">
        <f>IF(SUMIF($H$3:P$3,P$3,Sprint!$H35:P35)&gt;0,Q35,0)</f>
        <v>0</v>
      </c>
      <c r="AM35" s="42">
        <f>IF(SUMIF($H$3:P$3,P$3,Sprint!$H35:P35)=0,$G35,0)</f>
        <v>0</v>
      </c>
      <c r="AN35" s="10">
        <f>IF(SUMIF($H$3:R$3,R$3,Sprint!$H35:R35)&gt;0,S35,0)</f>
        <v>0</v>
      </c>
      <c r="AO35" s="42">
        <f>IF(SUMIF($H$3:R$3,R$3,Sprint!$H35:R35)=0,$G35,0)</f>
        <v>0</v>
      </c>
      <c r="AP35" s="10">
        <f>IF(SUMIF($H$3:T$3,T$3,Sprint!$H35:T35)&gt;0,U35,0)</f>
        <v>0</v>
      </c>
      <c r="AQ35" s="42">
        <f>IF(SUMIF($H$3:T$3,T$3,Sprint!$H35:T35)=0,$G35,0)</f>
        <v>0</v>
      </c>
      <c r="AR35" s="10">
        <f>IF(SUMIF($H$3:V$3,V$3,Sprint!$H35:V35)&gt;0,W35,0)</f>
        <v>0</v>
      </c>
      <c r="AS35" s="42">
        <f>IF(SUMIF($H$3:V$3,V$3,Sprint!$H35:V35)=0,$G35,0)</f>
        <v>0</v>
      </c>
      <c r="AT35" s="10">
        <f>IF(SUMIF($H$3:X$3,X$3,Sprint!$H35:X35)&gt;0,Y35,0)</f>
        <v>0</v>
      </c>
      <c r="AU35" s="42">
        <f>IF(SUMIF($H$3:X$3,X$3,Sprint!$H35:X35)=0,$G35,0)</f>
        <v>0</v>
      </c>
      <c r="AV35" s="10">
        <f>IF(SUMIF($H$3:Z$3,Z$3,Sprint!$H35:Z35)&gt;0,AA35,0)</f>
        <v>0</v>
      </c>
      <c r="AW35" s="11">
        <f>IF(SUMIF($H$3:Z$3,Z$3,Sprint!$H35:Z35)=0,$G35,0)</f>
        <v>0</v>
      </c>
      <c r="AX35" s="20">
        <f t="shared" ca="1" si="2"/>
        <v>0</v>
      </c>
    </row>
    <row r="36" spans="1:50" x14ac:dyDescent="0.3">
      <c r="A36" s="22"/>
      <c r="B36" s="14" t="str">
        <f t="shared" ca="1" si="0"/>
        <v/>
      </c>
      <c r="C36" s="14"/>
      <c r="D36" s="14"/>
      <c r="E36" s="14" t="str">
        <f t="shared" ca="1" si="6"/>
        <v/>
      </c>
      <c r="F36" s="14"/>
      <c r="G36" s="14"/>
      <c r="H36" s="14"/>
      <c r="I36" s="15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32">
        <f>G36-SUMIF($H$3:$AA$3,H$3,Sprint!$H36:$AA36)</f>
        <v>0</v>
      </c>
      <c r="AC36" s="17" t="str">
        <f t="shared" ca="1" si="5"/>
        <v/>
      </c>
      <c r="AD36" s="10">
        <f>IF(SUMIF($H$3:H$3,H$3,Sprint!$H36:H36)&gt;0,I36,0)</f>
        <v>0</v>
      </c>
      <c r="AE36" s="42">
        <f>IF(SUMIF($H$3:H$3,H$3,Sprint!$H36:H36)=0,$G36,0)</f>
        <v>0</v>
      </c>
      <c r="AF36" s="10">
        <f>IF(SUMIF($H$3:J$3,J$3,Sprint!$H36:J36)&gt;0,K36,0)</f>
        <v>0</v>
      </c>
      <c r="AG36" s="42">
        <f>IF(SUMIF($H$3:J$3,J$3,Sprint!$H36:J36)=0,$G36,0)</f>
        <v>0</v>
      </c>
      <c r="AH36" s="10">
        <f>IF(SUMIF($H$3:L$3,L$3,Sprint!$H36:L36)&gt;0,M36,0)</f>
        <v>0</v>
      </c>
      <c r="AI36" s="42">
        <f>IF(SUMIF($H$3:L$3,L$3,Sprint!$H36:L36)=0,$G36,0)</f>
        <v>0</v>
      </c>
      <c r="AJ36" s="10">
        <f>IF(SUMIF($H$3:N$3,N$3,Sprint!$H36:N36)&gt;0,O36,0)</f>
        <v>0</v>
      </c>
      <c r="AK36" s="42">
        <f>IF(SUMIF($H$3:N$3,N$3,Sprint!$H36:N36)=0,$G36,0)</f>
        <v>0</v>
      </c>
      <c r="AL36" s="10">
        <f>IF(SUMIF($H$3:P$3,P$3,Sprint!$H36:P36)&gt;0,Q36,0)</f>
        <v>0</v>
      </c>
      <c r="AM36" s="42">
        <f>IF(SUMIF($H$3:P$3,P$3,Sprint!$H36:P36)=0,$G36,0)</f>
        <v>0</v>
      </c>
      <c r="AN36" s="10">
        <f>IF(SUMIF($H$3:R$3,R$3,Sprint!$H36:R36)&gt;0,S36,0)</f>
        <v>0</v>
      </c>
      <c r="AO36" s="42">
        <f>IF(SUMIF($H$3:R$3,R$3,Sprint!$H36:R36)=0,$G36,0)</f>
        <v>0</v>
      </c>
      <c r="AP36" s="10">
        <f>IF(SUMIF($H$3:T$3,T$3,Sprint!$H36:T36)&gt;0,U36,0)</f>
        <v>0</v>
      </c>
      <c r="AQ36" s="42">
        <f>IF(SUMIF($H$3:T$3,T$3,Sprint!$H36:T36)=0,$G36,0)</f>
        <v>0</v>
      </c>
      <c r="AR36" s="10">
        <f>IF(SUMIF($H$3:V$3,V$3,Sprint!$H36:V36)&gt;0,W36,0)</f>
        <v>0</v>
      </c>
      <c r="AS36" s="42">
        <f>IF(SUMIF($H$3:V$3,V$3,Sprint!$H36:V36)=0,$G36,0)</f>
        <v>0</v>
      </c>
      <c r="AT36" s="10">
        <f>IF(SUMIF($H$3:X$3,X$3,Sprint!$H36:X36)&gt;0,Y36,0)</f>
        <v>0</v>
      </c>
      <c r="AU36" s="42">
        <f>IF(SUMIF($H$3:X$3,X$3,Sprint!$H36:X36)=0,$G36,0)</f>
        <v>0</v>
      </c>
      <c r="AV36" s="10">
        <f>IF(SUMIF($H$3:Z$3,Z$3,Sprint!$H36:Z36)&gt;0,AA36,0)</f>
        <v>0</v>
      </c>
      <c r="AW36" s="11">
        <f>IF(SUMIF($H$3:Z$3,Z$3,Sprint!$H36:Z36)=0,$G36,0)</f>
        <v>0</v>
      </c>
      <c r="AX36" s="20">
        <f t="shared" ca="1" si="2"/>
        <v>0</v>
      </c>
    </row>
    <row r="37" spans="1:50" x14ac:dyDescent="0.3">
      <c r="A37" s="22"/>
      <c r="B37" s="14" t="str">
        <f t="shared" ca="1" si="0"/>
        <v/>
      </c>
      <c r="C37" s="14"/>
      <c r="D37" s="14"/>
      <c r="E37" s="14" t="str">
        <f t="shared" ca="1" si="6"/>
        <v/>
      </c>
      <c r="F37" s="14"/>
      <c r="G37" s="14"/>
      <c r="H37" s="14"/>
      <c r="I37" s="15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32">
        <f>G37-SUMIF($H$3:$AA$3,H$3,Sprint!$H37:$AA37)</f>
        <v>0</v>
      </c>
      <c r="AC37" s="17" t="str">
        <f t="shared" ca="1" si="5"/>
        <v/>
      </c>
      <c r="AD37" s="10">
        <f>IF(SUMIF($H$3:H$3,H$3,Sprint!$H37:H37)&gt;0,I37,0)</f>
        <v>0</v>
      </c>
      <c r="AE37" s="42">
        <f>IF(SUMIF($H$3:H$3,H$3,Sprint!$H37:H37)=0,$G37,0)</f>
        <v>0</v>
      </c>
      <c r="AF37" s="10">
        <f>IF(SUMIF($H$3:J$3,J$3,Sprint!$H37:J37)&gt;0,K37,0)</f>
        <v>0</v>
      </c>
      <c r="AG37" s="42">
        <f>IF(SUMIF($H$3:J$3,J$3,Sprint!$H37:J37)=0,$G37,0)</f>
        <v>0</v>
      </c>
      <c r="AH37" s="10">
        <f>IF(SUMIF($H$3:L$3,L$3,Sprint!$H37:L37)&gt;0,M37,0)</f>
        <v>0</v>
      </c>
      <c r="AI37" s="42">
        <f>IF(SUMIF($H$3:L$3,L$3,Sprint!$H37:L37)=0,$G37,0)</f>
        <v>0</v>
      </c>
      <c r="AJ37" s="10">
        <f>IF(SUMIF($H$3:N$3,N$3,Sprint!$H37:N37)&gt;0,O37,0)</f>
        <v>0</v>
      </c>
      <c r="AK37" s="42">
        <f>IF(SUMIF($H$3:N$3,N$3,Sprint!$H37:N37)=0,$G37,0)</f>
        <v>0</v>
      </c>
      <c r="AL37" s="10">
        <f>IF(SUMIF($H$3:P$3,P$3,Sprint!$H37:P37)&gt;0,Q37,0)</f>
        <v>0</v>
      </c>
      <c r="AM37" s="42">
        <f>IF(SUMIF($H$3:P$3,P$3,Sprint!$H37:P37)=0,$G37,0)</f>
        <v>0</v>
      </c>
      <c r="AN37" s="10">
        <f>IF(SUMIF($H$3:R$3,R$3,Sprint!$H37:R37)&gt;0,S37,0)</f>
        <v>0</v>
      </c>
      <c r="AO37" s="42">
        <f>IF(SUMIF($H$3:R$3,R$3,Sprint!$H37:R37)=0,$G37,0)</f>
        <v>0</v>
      </c>
      <c r="AP37" s="10">
        <f>IF(SUMIF($H$3:T$3,T$3,Sprint!$H37:T37)&gt;0,U37,0)</f>
        <v>0</v>
      </c>
      <c r="AQ37" s="42">
        <f>IF(SUMIF($H$3:T$3,T$3,Sprint!$H37:T37)=0,$G37,0)</f>
        <v>0</v>
      </c>
      <c r="AR37" s="10">
        <f>IF(SUMIF($H$3:V$3,V$3,Sprint!$H37:V37)&gt;0,W37,0)</f>
        <v>0</v>
      </c>
      <c r="AS37" s="42">
        <f>IF(SUMIF($H$3:V$3,V$3,Sprint!$H37:V37)=0,$G37,0)</f>
        <v>0</v>
      </c>
      <c r="AT37" s="10">
        <f>IF(SUMIF($H$3:X$3,X$3,Sprint!$H37:X37)&gt;0,Y37,0)</f>
        <v>0</v>
      </c>
      <c r="AU37" s="42">
        <f>IF(SUMIF($H$3:X$3,X$3,Sprint!$H37:X37)=0,$G37,0)</f>
        <v>0</v>
      </c>
      <c r="AV37" s="10">
        <f>IF(SUMIF($H$3:Z$3,Z$3,Sprint!$H37:Z37)&gt;0,AA37,0)</f>
        <v>0</v>
      </c>
      <c r="AW37" s="11">
        <f>IF(SUMIF($H$3:Z$3,Z$3,Sprint!$H37:Z37)=0,$G37,0)</f>
        <v>0</v>
      </c>
      <c r="AX37" s="20">
        <f t="shared" ca="1" si="2"/>
        <v>0</v>
      </c>
    </row>
    <row r="38" spans="1:50" x14ac:dyDescent="0.3">
      <c r="A38" s="22"/>
      <c r="B38" s="14" t="str">
        <f t="shared" ca="1" si="0"/>
        <v/>
      </c>
      <c r="C38" s="14"/>
      <c r="D38" s="14"/>
      <c r="E38" s="14" t="str">
        <f t="shared" ca="1" si="6"/>
        <v/>
      </c>
      <c r="F38" s="14"/>
      <c r="G38" s="14"/>
      <c r="H38" s="14"/>
      <c r="I38" s="15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32">
        <f>G38-SUMIF($H$3:$AA$3,H$3,Sprint!$H38:$AA38)</f>
        <v>0</v>
      </c>
      <c r="AC38" s="17" t="str">
        <f t="shared" ca="1" si="5"/>
        <v/>
      </c>
      <c r="AD38" s="10">
        <f>IF(SUMIF($H$3:H$3,H$3,Sprint!$H38:H38)&gt;0,I38,0)</f>
        <v>0</v>
      </c>
      <c r="AE38" s="42">
        <f>IF(SUMIF($H$3:H$3,H$3,Sprint!$H38:H38)=0,$G38,0)</f>
        <v>0</v>
      </c>
      <c r="AF38" s="10">
        <f>IF(SUMIF($H$3:J$3,J$3,Sprint!$H38:J38)&gt;0,K38,0)</f>
        <v>0</v>
      </c>
      <c r="AG38" s="42">
        <f>IF(SUMIF($H$3:J$3,J$3,Sprint!$H38:J38)=0,$G38,0)</f>
        <v>0</v>
      </c>
      <c r="AH38" s="10">
        <f>IF(SUMIF($H$3:L$3,L$3,Sprint!$H38:L38)&gt;0,M38,0)</f>
        <v>0</v>
      </c>
      <c r="AI38" s="42">
        <f>IF(SUMIF($H$3:L$3,L$3,Sprint!$H38:L38)=0,$G38,0)</f>
        <v>0</v>
      </c>
      <c r="AJ38" s="10">
        <f>IF(SUMIF($H$3:N$3,N$3,Sprint!$H38:N38)&gt;0,O38,0)</f>
        <v>0</v>
      </c>
      <c r="AK38" s="42">
        <f>IF(SUMIF($H$3:N$3,N$3,Sprint!$H38:N38)=0,$G38,0)</f>
        <v>0</v>
      </c>
      <c r="AL38" s="10">
        <f>IF(SUMIF($H$3:P$3,P$3,Sprint!$H38:P38)&gt;0,Q38,0)</f>
        <v>0</v>
      </c>
      <c r="AM38" s="42">
        <f>IF(SUMIF($H$3:P$3,P$3,Sprint!$H38:P38)=0,$G38,0)</f>
        <v>0</v>
      </c>
      <c r="AN38" s="10">
        <f>IF(SUMIF($H$3:R$3,R$3,Sprint!$H38:R38)&gt;0,S38,0)</f>
        <v>0</v>
      </c>
      <c r="AO38" s="42">
        <f>IF(SUMIF($H$3:R$3,R$3,Sprint!$H38:R38)=0,$G38,0)</f>
        <v>0</v>
      </c>
      <c r="AP38" s="10">
        <f>IF(SUMIF($H$3:T$3,T$3,Sprint!$H38:T38)&gt;0,U38,0)</f>
        <v>0</v>
      </c>
      <c r="AQ38" s="42">
        <f>IF(SUMIF($H$3:T$3,T$3,Sprint!$H38:T38)=0,$G38,0)</f>
        <v>0</v>
      </c>
      <c r="AR38" s="10">
        <f>IF(SUMIF($H$3:V$3,V$3,Sprint!$H38:V38)&gt;0,W38,0)</f>
        <v>0</v>
      </c>
      <c r="AS38" s="42">
        <f>IF(SUMIF($H$3:V$3,V$3,Sprint!$H38:V38)=0,$G38,0)</f>
        <v>0</v>
      </c>
      <c r="AT38" s="10">
        <f>IF(SUMIF($H$3:X$3,X$3,Sprint!$H38:X38)&gt;0,Y38,0)</f>
        <v>0</v>
      </c>
      <c r="AU38" s="42">
        <f>IF(SUMIF($H$3:X$3,X$3,Sprint!$H38:X38)=0,$G38,0)</f>
        <v>0</v>
      </c>
      <c r="AV38" s="10">
        <f>IF(SUMIF($H$3:Z$3,Z$3,Sprint!$H38:Z38)&gt;0,AA38,0)</f>
        <v>0</v>
      </c>
      <c r="AW38" s="11">
        <f>IF(SUMIF($H$3:Z$3,Z$3,Sprint!$H38:Z38)=0,$G38,0)</f>
        <v>0</v>
      </c>
      <c r="AX38" s="20">
        <f t="shared" ca="1" si="2"/>
        <v>0</v>
      </c>
    </row>
    <row r="39" spans="1:50" x14ac:dyDescent="0.3">
      <c r="A39" s="22"/>
      <c r="B39" s="14" t="str">
        <f t="shared" ca="1" si="0"/>
        <v/>
      </c>
      <c r="C39" s="14"/>
      <c r="D39" s="14"/>
      <c r="E39" s="14" t="str">
        <f t="shared" ca="1" si="6"/>
        <v/>
      </c>
      <c r="F39" s="14"/>
      <c r="G39" s="14"/>
      <c r="H39" s="14"/>
      <c r="I39" s="15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32">
        <f>G39-SUMIF($H$3:$AA$3,H$3,Sprint!$H39:$AA39)</f>
        <v>0</v>
      </c>
      <c r="AC39" s="17" t="str">
        <f t="shared" ca="1" si="5"/>
        <v/>
      </c>
      <c r="AD39" s="10">
        <f>IF(SUMIF($H$3:H$3,H$3,Sprint!$H39:H39)&gt;0,I39,0)</f>
        <v>0</v>
      </c>
      <c r="AE39" s="42">
        <f>IF(SUMIF($H$3:H$3,H$3,Sprint!$H39:H39)=0,$G39,0)</f>
        <v>0</v>
      </c>
      <c r="AF39" s="10">
        <f>IF(SUMIF($H$3:J$3,J$3,Sprint!$H39:J39)&gt;0,K39,0)</f>
        <v>0</v>
      </c>
      <c r="AG39" s="42">
        <f>IF(SUMIF($H$3:J$3,J$3,Sprint!$H39:J39)=0,$G39,0)</f>
        <v>0</v>
      </c>
      <c r="AH39" s="10">
        <f>IF(SUMIF($H$3:L$3,L$3,Sprint!$H39:L39)&gt;0,M39,0)</f>
        <v>0</v>
      </c>
      <c r="AI39" s="42">
        <f>IF(SUMIF($H$3:L$3,L$3,Sprint!$H39:L39)=0,$G39,0)</f>
        <v>0</v>
      </c>
      <c r="AJ39" s="10">
        <f>IF(SUMIF($H$3:N$3,N$3,Sprint!$H39:N39)&gt;0,O39,0)</f>
        <v>0</v>
      </c>
      <c r="AK39" s="42">
        <f>IF(SUMIF($H$3:N$3,N$3,Sprint!$H39:N39)=0,$G39,0)</f>
        <v>0</v>
      </c>
      <c r="AL39" s="10">
        <f>IF(SUMIF($H$3:P$3,P$3,Sprint!$H39:P39)&gt;0,Q39,0)</f>
        <v>0</v>
      </c>
      <c r="AM39" s="42">
        <f>IF(SUMIF($H$3:P$3,P$3,Sprint!$H39:P39)=0,$G39,0)</f>
        <v>0</v>
      </c>
      <c r="AN39" s="10">
        <f>IF(SUMIF($H$3:R$3,R$3,Sprint!$H39:R39)&gt;0,S39,0)</f>
        <v>0</v>
      </c>
      <c r="AO39" s="42">
        <f>IF(SUMIF($H$3:R$3,R$3,Sprint!$H39:R39)=0,$G39,0)</f>
        <v>0</v>
      </c>
      <c r="AP39" s="10">
        <f>IF(SUMIF($H$3:T$3,T$3,Sprint!$H39:T39)&gt;0,U39,0)</f>
        <v>0</v>
      </c>
      <c r="AQ39" s="42">
        <f>IF(SUMIF($H$3:T$3,T$3,Sprint!$H39:T39)=0,$G39,0)</f>
        <v>0</v>
      </c>
      <c r="AR39" s="10">
        <f>IF(SUMIF($H$3:V$3,V$3,Sprint!$H39:V39)&gt;0,W39,0)</f>
        <v>0</v>
      </c>
      <c r="AS39" s="42">
        <f>IF(SUMIF($H$3:V$3,V$3,Sprint!$H39:V39)=0,$G39,0)</f>
        <v>0</v>
      </c>
      <c r="AT39" s="10">
        <f>IF(SUMIF($H$3:X$3,X$3,Sprint!$H39:X39)&gt;0,Y39,0)</f>
        <v>0</v>
      </c>
      <c r="AU39" s="42">
        <f>IF(SUMIF($H$3:X$3,X$3,Sprint!$H39:X39)=0,$G39,0)</f>
        <v>0</v>
      </c>
      <c r="AV39" s="10">
        <f>IF(SUMIF($H$3:Z$3,Z$3,Sprint!$H39:Z39)&gt;0,AA39,0)</f>
        <v>0</v>
      </c>
      <c r="AW39" s="11">
        <f>IF(SUMIF($H$3:Z$3,Z$3,Sprint!$H39:Z39)=0,$G39,0)</f>
        <v>0</v>
      </c>
      <c r="AX39" s="20">
        <f t="shared" ca="1" si="2"/>
        <v>0</v>
      </c>
    </row>
    <row r="40" spans="1:50" x14ac:dyDescent="0.3">
      <c r="A40" s="22"/>
      <c r="B40" s="14" t="str">
        <f t="shared" ca="1" si="0"/>
        <v/>
      </c>
      <c r="C40" s="14"/>
      <c r="D40" s="14"/>
      <c r="E40" s="14" t="str">
        <f t="shared" ca="1" si="6"/>
        <v/>
      </c>
      <c r="F40" s="14"/>
      <c r="G40" s="14"/>
      <c r="H40" s="14"/>
      <c r="I40" s="15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32">
        <f>G40-SUMIF($H$3:$AA$3,H$3,Sprint!$H40:$AA40)</f>
        <v>0</v>
      </c>
      <c r="AC40" s="17" t="str">
        <f t="shared" ca="1" si="5"/>
        <v/>
      </c>
      <c r="AD40" s="10">
        <f>IF(SUMIF($H$3:H$3,H$3,Sprint!$H40:H40)&gt;0,I40,0)</f>
        <v>0</v>
      </c>
      <c r="AE40" s="42">
        <f>IF(SUMIF($H$3:H$3,H$3,Sprint!$H40:H40)=0,$G40,0)</f>
        <v>0</v>
      </c>
      <c r="AF40" s="10">
        <f>IF(SUMIF($H$3:J$3,J$3,Sprint!$H40:J40)&gt;0,K40,0)</f>
        <v>0</v>
      </c>
      <c r="AG40" s="42">
        <f>IF(SUMIF($H$3:J$3,J$3,Sprint!$H40:J40)=0,$G40,0)</f>
        <v>0</v>
      </c>
      <c r="AH40" s="10">
        <f>IF(SUMIF($H$3:L$3,L$3,Sprint!$H40:L40)&gt;0,M40,0)</f>
        <v>0</v>
      </c>
      <c r="AI40" s="42">
        <f>IF(SUMIF($H$3:L$3,L$3,Sprint!$H40:L40)=0,$G40,0)</f>
        <v>0</v>
      </c>
      <c r="AJ40" s="10">
        <f>IF(SUMIF($H$3:N$3,N$3,Sprint!$H40:N40)&gt;0,O40,0)</f>
        <v>0</v>
      </c>
      <c r="AK40" s="42">
        <f>IF(SUMIF($H$3:N$3,N$3,Sprint!$H40:N40)=0,$G40,0)</f>
        <v>0</v>
      </c>
      <c r="AL40" s="10">
        <f>IF(SUMIF($H$3:P$3,P$3,Sprint!$H40:P40)&gt;0,Q40,0)</f>
        <v>0</v>
      </c>
      <c r="AM40" s="42">
        <f>IF(SUMIF($H$3:P$3,P$3,Sprint!$H40:P40)=0,$G40,0)</f>
        <v>0</v>
      </c>
      <c r="AN40" s="10">
        <f>IF(SUMIF($H$3:R$3,R$3,Sprint!$H40:R40)&gt;0,S40,0)</f>
        <v>0</v>
      </c>
      <c r="AO40" s="42">
        <f>IF(SUMIF($H$3:R$3,R$3,Sprint!$H40:R40)=0,$G40,0)</f>
        <v>0</v>
      </c>
      <c r="AP40" s="10">
        <f>IF(SUMIF($H$3:T$3,T$3,Sprint!$H40:T40)&gt;0,U40,0)</f>
        <v>0</v>
      </c>
      <c r="AQ40" s="42">
        <f>IF(SUMIF($H$3:T$3,T$3,Sprint!$H40:T40)=0,$G40,0)</f>
        <v>0</v>
      </c>
      <c r="AR40" s="10">
        <f>IF(SUMIF($H$3:V$3,V$3,Sprint!$H40:V40)&gt;0,W40,0)</f>
        <v>0</v>
      </c>
      <c r="AS40" s="42">
        <f>IF(SUMIF($H$3:V$3,V$3,Sprint!$H40:V40)=0,$G40,0)</f>
        <v>0</v>
      </c>
      <c r="AT40" s="10">
        <f>IF(SUMIF($H$3:X$3,X$3,Sprint!$H40:X40)&gt;0,Y40,0)</f>
        <v>0</v>
      </c>
      <c r="AU40" s="42">
        <f>IF(SUMIF($H$3:X$3,X$3,Sprint!$H40:X40)=0,$G40,0)</f>
        <v>0</v>
      </c>
      <c r="AV40" s="10">
        <f>IF(SUMIF($H$3:Z$3,Z$3,Sprint!$H40:Z40)&gt;0,AA40,0)</f>
        <v>0</v>
      </c>
      <c r="AW40" s="11">
        <f>IF(SUMIF($H$3:Z$3,Z$3,Sprint!$H40:Z40)=0,$G40,0)</f>
        <v>0</v>
      </c>
      <c r="AX40" s="20">
        <f t="shared" ca="1" si="2"/>
        <v>0</v>
      </c>
    </row>
    <row r="41" spans="1:50" x14ac:dyDescent="0.3">
      <c r="A41" s="22"/>
      <c r="B41" s="14" t="str">
        <f t="shared" ca="1" si="0"/>
        <v/>
      </c>
      <c r="C41" s="14"/>
      <c r="D41" s="14"/>
      <c r="E41" s="14" t="str">
        <f t="shared" ca="1" si="6"/>
        <v/>
      </c>
      <c r="F41" s="14"/>
      <c r="G41" s="14"/>
      <c r="H41" s="14"/>
      <c r="I41" s="15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32">
        <f>G41-SUMIF($H$3:$AA$3,H$3,Sprint!$H41:$AA41)</f>
        <v>0</v>
      </c>
      <c r="AC41" s="17" t="str">
        <f t="shared" ca="1" si="5"/>
        <v/>
      </c>
      <c r="AD41" s="10">
        <f>IF(SUMIF($H$3:H$3,H$3,Sprint!$H41:H41)&gt;0,I41,0)</f>
        <v>0</v>
      </c>
      <c r="AE41" s="42">
        <f>IF(SUMIF($H$3:H$3,H$3,Sprint!$H41:H41)=0,$G41,0)</f>
        <v>0</v>
      </c>
      <c r="AF41" s="10">
        <f>IF(SUMIF($H$3:J$3,J$3,Sprint!$H41:J41)&gt;0,K41,0)</f>
        <v>0</v>
      </c>
      <c r="AG41" s="42">
        <f>IF(SUMIF($H$3:J$3,J$3,Sprint!$H41:J41)=0,$G41,0)</f>
        <v>0</v>
      </c>
      <c r="AH41" s="10">
        <f>IF(SUMIF($H$3:L$3,L$3,Sprint!$H41:L41)&gt;0,M41,0)</f>
        <v>0</v>
      </c>
      <c r="AI41" s="42">
        <f>IF(SUMIF($H$3:L$3,L$3,Sprint!$H41:L41)=0,$G41,0)</f>
        <v>0</v>
      </c>
      <c r="AJ41" s="10">
        <f>IF(SUMIF($H$3:N$3,N$3,Sprint!$H41:N41)&gt;0,O41,0)</f>
        <v>0</v>
      </c>
      <c r="AK41" s="42">
        <f>IF(SUMIF($H$3:N$3,N$3,Sprint!$H41:N41)=0,$G41,0)</f>
        <v>0</v>
      </c>
      <c r="AL41" s="10">
        <f>IF(SUMIF($H$3:P$3,P$3,Sprint!$H41:P41)&gt;0,Q41,0)</f>
        <v>0</v>
      </c>
      <c r="AM41" s="42">
        <f>IF(SUMIF($H$3:P$3,P$3,Sprint!$H41:P41)=0,$G41,0)</f>
        <v>0</v>
      </c>
      <c r="AN41" s="10">
        <f>IF(SUMIF($H$3:R$3,R$3,Sprint!$H41:R41)&gt;0,S41,0)</f>
        <v>0</v>
      </c>
      <c r="AO41" s="42">
        <f>IF(SUMIF($H$3:R$3,R$3,Sprint!$H41:R41)=0,$G41,0)</f>
        <v>0</v>
      </c>
      <c r="AP41" s="10">
        <f>IF(SUMIF($H$3:T$3,T$3,Sprint!$H41:T41)&gt;0,U41,0)</f>
        <v>0</v>
      </c>
      <c r="AQ41" s="42">
        <f>IF(SUMIF($H$3:T$3,T$3,Sprint!$H41:T41)=0,$G41,0)</f>
        <v>0</v>
      </c>
      <c r="AR41" s="10">
        <f>IF(SUMIF($H$3:V$3,V$3,Sprint!$H41:V41)&gt;0,W41,0)</f>
        <v>0</v>
      </c>
      <c r="AS41" s="42">
        <f>IF(SUMIF($H$3:V$3,V$3,Sprint!$H41:V41)=0,$G41,0)</f>
        <v>0</v>
      </c>
      <c r="AT41" s="10">
        <f>IF(SUMIF($H$3:X$3,X$3,Sprint!$H41:X41)&gt;0,Y41,0)</f>
        <v>0</v>
      </c>
      <c r="AU41" s="42">
        <f>IF(SUMIF($H$3:X$3,X$3,Sprint!$H41:X41)=0,$G41,0)</f>
        <v>0</v>
      </c>
      <c r="AV41" s="10">
        <f>IF(SUMIF($H$3:Z$3,Z$3,Sprint!$H41:Z41)&gt;0,AA41,0)</f>
        <v>0</v>
      </c>
      <c r="AW41" s="11">
        <f>IF(SUMIF($H$3:Z$3,Z$3,Sprint!$H41:Z41)=0,$G41,0)</f>
        <v>0</v>
      </c>
      <c r="AX41" s="20">
        <f t="shared" ca="1" si="2"/>
        <v>0</v>
      </c>
    </row>
    <row r="42" spans="1:50" x14ac:dyDescent="0.3">
      <c r="A42" s="22"/>
      <c r="B42" s="14" t="str">
        <f t="shared" ca="1" si="0"/>
        <v/>
      </c>
      <c r="C42" s="14"/>
      <c r="D42" s="14"/>
      <c r="E42" s="14" t="str">
        <f t="shared" ca="1" si="6"/>
        <v/>
      </c>
      <c r="F42" s="14"/>
      <c r="G42" s="14"/>
      <c r="H42" s="14"/>
      <c r="I42" s="15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32">
        <f>G42-SUMIF($H$3:$AA$3,H$3,Sprint!$H42:$AA42)</f>
        <v>0</v>
      </c>
      <c r="AC42" s="17" t="str">
        <f t="shared" ca="1" si="5"/>
        <v/>
      </c>
      <c r="AD42" s="10">
        <f>IF(SUMIF($H$3:H$3,H$3,Sprint!$H42:H42)&gt;0,I42,0)</f>
        <v>0</v>
      </c>
      <c r="AE42" s="42">
        <f>IF(SUMIF($H$3:H$3,H$3,Sprint!$H42:H42)=0,$G42,0)</f>
        <v>0</v>
      </c>
      <c r="AF42" s="10">
        <f>IF(SUMIF($H$3:J$3,J$3,Sprint!$H42:J42)&gt;0,K42,0)</f>
        <v>0</v>
      </c>
      <c r="AG42" s="42">
        <f>IF(SUMIF($H$3:J$3,J$3,Sprint!$H42:J42)=0,$G42,0)</f>
        <v>0</v>
      </c>
      <c r="AH42" s="10">
        <f>IF(SUMIF($H$3:L$3,L$3,Sprint!$H42:L42)&gt;0,M42,0)</f>
        <v>0</v>
      </c>
      <c r="AI42" s="42">
        <f>IF(SUMIF($H$3:L$3,L$3,Sprint!$H42:L42)=0,$G42,0)</f>
        <v>0</v>
      </c>
      <c r="AJ42" s="10">
        <f>IF(SUMIF($H$3:N$3,N$3,Sprint!$H42:N42)&gt;0,O42,0)</f>
        <v>0</v>
      </c>
      <c r="AK42" s="42">
        <f>IF(SUMIF($H$3:N$3,N$3,Sprint!$H42:N42)=0,$G42,0)</f>
        <v>0</v>
      </c>
      <c r="AL42" s="10">
        <f>IF(SUMIF($H$3:P$3,P$3,Sprint!$H42:P42)&gt;0,Q42,0)</f>
        <v>0</v>
      </c>
      <c r="AM42" s="42">
        <f>IF(SUMIF($H$3:P$3,P$3,Sprint!$H42:P42)=0,$G42,0)</f>
        <v>0</v>
      </c>
      <c r="AN42" s="10">
        <f>IF(SUMIF($H$3:R$3,R$3,Sprint!$H42:R42)&gt;0,S42,0)</f>
        <v>0</v>
      </c>
      <c r="AO42" s="42">
        <f>IF(SUMIF($H$3:R$3,R$3,Sprint!$H42:R42)=0,$G42,0)</f>
        <v>0</v>
      </c>
      <c r="AP42" s="10">
        <f>IF(SUMIF($H$3:T$3,T$3,Sprint!$H42:T42)&gt;0,U42,0)</f>
        <v>0</v>
      </c>
      <c r="AQ42" s="42">
        <f>IF(SUMIF($H$3:T$3,T$3,Sprint!$H42:T42)=0,$G42,0)</f>
        <v>0</v>
      </c>
      <c r="AR42" s="10">
        <f>IF(SUMIF($H$3:V$3,V$3,Sprint!$H42:V42)&gt;0,W42,0)</f>
        <v>0</v>
      </c>
      <c r="AS42" s="42">
        <f>IF(SUMIF($H$3:V$3,V$3,Sprint!$H42:V42)=0,$G42,0)</f>
        <v>0</v>
      </c>
      <c r="AT42" s="10">
        <f>IF(SUMIF($H$3:X$3,X$3,Sprint!$H42:X42)&gt;0,Y42,0)</f>
        <v>0</v>
      </c>
      <c r="AU42" s="42">
        <f>IF(SUMIF($H$3:X$3,X$3,Sprint!$H42:X42)=0,$G42,0)</f>
        <v>0</v>
      </c>
      <c r="AV42" s="10">
        <f>IF(SUMIF($H$3:Z$3,Z$3,Sprint!$H42:Z42)&gt;0,AA42,0)</f>
        <v>0</v>
      </c>
      <c r="AW42" s="11">
        <f>IF(SUMIF($H$3:Z$3,Z$3,Sprint!$H42:Z42)=0,$G42,0)</f>
        <v>0</v>
      </c>
      <c r="AX42" s="20">
        <f t="shared" ca="1" si="2"/>
        <v>0</v>
      </c>
    </row>
    <row r="43" spans="1:50" x14ac:dyDescent="0.3">
      <c r="A43" s="22"/>
      <c r="B43" s="14" t="str">
        <f t="shared" ca="1" si="0"/>
        <v/>
      </c>
      <c r="C43" s="14"/>
      <c r="D43" s="14"/>
      <c r="E43" s="14" t="str">
        <f t="shared" ca="1" si="6"/>
        <v/>
      </c>
      <c r="F43" s="14"/>
      <c r="G43" s="14"/>
      <c r="H43" s="14"/>
      <c r="I43" s="15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32">
        <f>G43-SUMIF($H$3:$AA$3,H$3,Sprint!$H43:$AA43)</f>
        <v>0</v>
      </c>
      <c r="AC43" s="17" t="str">
        <f t="shared" ca="1" si="5"/>
        <v/>
      </c>
      <c r="AD43" s="10">
        <f>IF(SUMIF($H$3:H$3,H$3,Sprint!$H43:H43)&gt;0,I43,0)</f>
        <v>0</v>
      </c>
      <c r="AE43" s="42">
        <f>IF(SUMIF($H$3:H$3,H$3,Sprint!$H43:H43)=0,$G43,0)</f>
        <v>0</v>
      </c>
      <c r="AF43" s="10">
        <f>IF(SUMIF($H$3:J$3,J$3,Sprint!$H43:J43)&gt;0,K43,0)</f>
        <v>0</v>
      </c>
      <c r="AG43" s="42">
        <f>IF(SUMIF($H$3:J$3,J$3,Sprint!$H43:J43)=0,$G43,0)</f>
        <v>0</v>
      </c>
      <c r="AH43" s="10">
        <f>IF(SUMIF($H$3:L$3,L$3,Sprint!$H43:L43)&gt;0,M43,0)</f>
        <v>0</v>
      </c>
      <c r="AI43" s="42">
        <f>IF(SUMIF($H$3:L$3,L$3,Sprint!$H43:L43)=0,$G43,0)</f>
        <v>0</v>
      </c>
      <c r="AJ43" s="10">
        <f>IF(SUMIF($H$3:N$3,N$3,Sprint!$H43:N43)&gt;0,O43,0)</f>
        <v>0</v>
      </c>
      <c r="AK43" s="42">
        <f>IF(SUMIF($H$3:N$3,N$3,Sprint!$H43:N43)=0,$G43,0)</f>
        <v>0</v>
      </c>
      <c r="AL43" s="10">
        <f>IF(SUMIF($H$3:P$3,P$3,Sprint!$H43:P43)&gt;0,Q43,0)</f>
        <v>0</v>
      </c>
      <c r="AM43" s="42">
        <f>IF(SUMIF($H$3:P$3,P$3,Sprint!$H43:P43)=0,$G43,0)</f>
        <v>0</v>
      </c>
      <c r="AN43" s="10">
        <f>IF(SUMIF($H$3:R$3,R$3,Sprint!$H43:R43)&gt;0,S43,0)</f>
        <v>0</v>
      </c>
      <c r="AO43" s="42">
        <f>IF(SUMIF($H$3:R$3,R$3,Sprint!$H43:R43)=0,$G43,0)</f>
        <v>0</v>
      </c>
      <c r="AP43" s="10">
        <f>IF(SUMIF($H$3:T$3,T$3,Sprint!$H43:T43)&gt;0,U43,0)</f>
        <v>0</v>
      </c>
      <c r="AQ43" s="42">
        <f>IF(SUMIF($H$3:T$3,T$3,Sprint!$H43:T43)=0,$G43,0)</f>
        <v>0</v>
      </c>
      <c r="AR43" s="10">
        <f>IF(SUMIF($H$3:V$3,V$3,Sprint!$H43:V43)&gt;0,W43,0)</f>
        <v>0</v>
      </c>
      <c r="AS43" s="42">
        <f>IF(SUMIF($H$3:V$3,V$3,Sprint!$H43:V43)=0,$G43,0)</f>
        <v>0</v>
      </c>
      <c r="AT43" s="10">
        <f>IF(SUMIF($H$3:X$3,X$3,Sprint!$H43:X43)&gt;0,Y43,0)</f>
        <v>0</v>
      </c>
      <c r="AU43" s="42">
        <f>IF(SUMIF($H$3:X$3,X$3,Sprint!$H43:X43)=0,$G43,0)</f>
        <v>0</v>
      </c>
      <c r="AV43" s="10">
        <f>IF(SUMIF($H$3:Z$3,Z$3,Sprint!$H43:Z43)&gt;0,AA43,0)</f>
        <v>0</v>
      </c>
      <c r="AW43" s="11">
        <f>IF(SUMIF($H$3:Z$3,Z$3,Sprint!$H43:Z43)=0,$G43,0)</f>
        <v>0</v>
      </c>
      <c r="AX43" s="20">
        <f t="shared" ca="1" si="2"/>
        <v>0</v>
      </c>
    </row>
    <row r="44" spans="1:50" x14ac:dyDescent="0.3">
      <c r="A44" s="22"/>
      <c r="B44" s="14" t="str">
        <f t="shared" ca="1" si="0"/>
        <v/>
      </c>
      <c r="C44" s="14"/>
      <c r="D44" s="14"/>
      <c r="E44" s="14" t="str">
        <f t="shared" ca="1" si="6"/>
        <v/>
      </c>
      <c r="F44" s="14"/>
      <c r="G44" s="14"/>
      <c r="H44" s="14"/>
      <c r="I44" s="15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32">
        <f>G44-SUMIF($H$3:$AA$3,H$3,Sprint!$H44:$AA44)</f>
        <v>0</v>
      </c>
      <c r="AC44" s="17" t="str">
        <f t="shared" ca="1" si="5"/>
        <v/>
      </c>
      <c r="AD44" s="10">
        <f>IF(SUMIF($H$3:H$3,H$3,Sprint!$H44:H44)&gt;0,I44,0)</f>
        <v>0</v>
      </c>
      <c r="AE44" s="42">
        <f>IF(SUMIF($H$3:H$3,H$3,Sprint!$H44:H44)=0,$G44,0)</f>
        <v>0</v>
      </c>
      <c r="AF44" s="10">
        <f>IF(SUMIF($H$3:J$3,J$3,Sprint!$H44:J44)&gt;0,K44,0)</f>
        <v>0</v>
      </c>
      <c r="AG44" s="42">
        <f>IF(SUMIF($H$3:J$3,J$3,Sprint!$H44:J44)=0,$G44,0)</f>
        <v>0</v>
      </c>
      <c r="AH44" s="10">
        <f>IF(SUMIF($H$3:L$3,L$3,Sprint!$H44:L44)&gt;0,M44,0)</f>
        <v>0</v>
      </c>
      <c r="AI44" s="42">
        <f>IF(SUMIF($H$3:L$3,L$3,Sprint!$H44:L44)=0,$G44,0)</f>
        <v>0</v>
      </c>
      <c r="AJ44" s="10">
        <f>IF(SUMIF($H$3:N$3,N$3,Sprint!$H44:N44)&gt;0,O44,0)</f>
        <v>0</v>
      </c>
      <c r="AK44" s="42">
        <f>IF(SUMIF($H$3:N$3,N$3,Sprint!$H44:N44)=0,$G44,0)</f>
        <v>0</v>
      </c>
      <c r="AL44" s="10">
        <f>IF(SUMIF($H$3:P$3,P$3,Sprint!$H44:P44)&gt;0,Q44,0)</f>
        <v>0</v>
      </c>
      <c r="AM44" s="42">
        <f>IF(SUMIF($H$3:P$3,P$3,Sprint!$H44:P44)=0,$G44,0)</f>
        <v>0</v>
      </c>
      <c r="AN44" s="10">
        <f>IF(SUMIF($H$3:R$3,R$3,Sprint!$H44:R44)&gt;0,S44,0)</f>
        <v>0</v>
      </c>
      <c r="AO44" s="42">
        <f>IF(SUMIF($H$3:R$3,R$3,Sprint!$H44:R44)=0,$G44,0)</f>
        <v>0</v>
      </c>
      <c r="AP44" s="10">
        <f>IF(SUMIF($H$3:T$3,T$3,Sprint!$H44:T44)&gt;0,U44,0)</f>
        <v>0</v>
      </c>
      <c r="AQ44" s="42">
        <f>IF(SUMIF($H$3:T$3,T$3,Sprint!$H44:T44)=0,$G44,0)</f>
        <v>0</v>
      </c>
      <c r="AR44" s="10">
        <f>IF(SUMIF($H$3:V$3,V$3,Sprint!$H44:V44)&gt;0,W44,0)</f>
        <v>0</v>
      </c>
      <c r="AS44" s="42">
        <f>IF(SUMIF($H$3:V$3,V$3,Sprint!$H44:V44)=0,$G44,0)</f>
        <v>0</v>
      </c>
      <c r="AT44" s="10">
        <f>IF(SUMIF($H$3:X$3,X$3,Sprint!$H44:X44)&gt;0,Y44,0)</f>
        <v>0</v>
      </c>
      <c r="AU44" s="42">
        <f>IF(SUMIF($H$3:X$3,X$3,Sprint!$H44:X44)=0,$G44,0)</f>
        <v>0</v>
      </c>
      <c r="AV44" s="10">
        <f>IF(SUMIF($H$3:Z$3,Z$3,Sprint!$H44:Z44)&gt;0,AA44,0)</f>
        <v>0</v>
      </c>
      <c r="AW44" s="11">
        <f>IF(SUMIF($H$3:Z$3,Z$3,Sprint!$H44:Z44)=0,$G44,0)</f>
        <v>0</v>
      </c>
      <c r="AX44" s="20">
        <f t="shared" ca="1" si="2"/>
        <v>0</v>
      </c>
    </row>
    <row r="45" spans="1:50" x14ac:dyDescent="0.3">
      <c r="A45" s="22"/>
      <c r="B45" s="14" t="str">
        <f t="shared" ca="1" si="0"/>
        <v/>
      </c>
      <c r="C45" s="14"/>
      <c r="D45" s="14"/>
      <c r="E45" s="14" t="str">
        <f t="shared" ca="1" si="6"/>
        <v/>
      </c>
      <c r="F45" s="14"/>
      <c r="G45" s="14"/>
      <c r="H45" s="14"/>
      <c r="I45" s="15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32">
        <f>G45-SUMIF($H$3:$AA$3,H$3,Sprint!$H45:$AA45)</f>
        <v>0</v>
      </c>
      <c r="AC45" s="17" t="str">
        <f t="shared" ca="1" si="5"/>
        <v/>
      </c>
      <c r="AD45" s="10">
        <f>IF(SUMIF($H$3:H$3,H$3,Sprint!$H45:H45)&gt;0,I45,0)</f>
        <v>0</v>
      </c>
      <c r="AE45" s="42">
        <f>IF(SUMIF($H$3:H$3,H$3,Sprint!$H45:H45)=0,$G45,0)</f>
        <v>0</v>
      </c>
      <c r="AF45" s="10">
        <f>IF(SUMIF($H$3:J$3,J$3,Sprint!$H45:J45)&gt;0,K45,0)</f>
        <v>0</v>
      </c>
      <c r="AG45" s="42">
        <f>IF(SUMIF($H$3:J$3,J$3,Sprint!$H45:J45)=0,$G45,0)</f>
        <v>0</v>
      </c>
      <c r="AH45" s="10">
        <f>IF(SUMIF($H$3:L$3,L$3,Sprint!$H45:L45)&gt;0,M45,0)</f>
        <v>0</v>
      </c>
      <c r="AI45" s="42">
        <f>IF(SUMIF($H$3:L$3,L$3,Sprint!$H45:L45)=0,$G45,0)</f>
        <v>0</v>
      </c>
      <c r="AJ45" s="10">
        <f>IF(SUMIF($H$3:N$3,N$3,Sprint!$H45:N45)&gt;0,O45,0)</f>
        <v>0</v>
      </c>
      <c r="AK45" s="42">
        <f>IF(SUMIF($H$3:N$3,N$3,Sprint!$H45:N45)=0,$G45,0)</f>
        <v>0</v>
      </c>
      <c r="AL45" s="10">
        <f>IF(SUMIF($H$3:P$3,P$3,Sprint!$H45:P45)&gt;0,Q45,0)</f>
        <v>0</v>
      </c>
      <c r="AM45" s="42">
        <f>IF(SUMIF($H$3:P$3,P$3,Sprint!$H45:P45)=0,$G45,0)</f>
        <v>0</v>
      </c>
      <c r="AN45" s="10">
        <f>IF(SUMIF($H$3:R$3,R$3,Sprint!$H45:R45)&gt;0,S45,0)</f>
        <v>0</v>
      </c>
      <c r="AO45" s="42">
        <f>IF(SUMIF($H$3:R$3,R$3,Sprint!$H45:R45)=0,$G45,0)</f>
        <v>0</v>
      </c>
      <c r="AP45" s="10">
        <f>IF(SUMIF($H$3:T$3,T$3,Sprint!$H45:T45)&gt;0,U45,0)</f>
        <v>0</v>
      </c>
      <c r="AQ45" s="42">
        <f>IF(SUMIF($H$3:T$3,T$3,Sprint!$H45:T45)=0,$G45,0)</f>
        <v>0</v>
      </c>
      <c r="AR45" s="10">
        <f>IF(SUMIF($H$3:V$3,V$3,Sprint!$H45:V45)&gt;0,W45,0)</f>
        <v>0</v>
      </c>
      <c r="AS45" s="42">
        <f>IF(SUMIF($H$3:V$3,V$3,Sprint!$H45:V45)=0,$G45,0)</f>
        <v>0</v>
      </c>
      <c r="AT45" s="10">
        <f>IF(SUMIF($H$3:X$3,X$3,Sprint!$H45:X45)&gt;0,Y45,0)</f>
        <v>0</v>
      </c>
      <c r="AU45" s="42">
        <f>IF(SUMIF($H$3:X$3,X$3,Sprint!$H45:X45)=0,$G45,0)</f>
        <v>0</v>
      </c>
      <c r="AV45" s="10">
        <f>IF(SUMIF($H$3:Z$3,Z$3,Sprint!$H45:Z45)&gt;0,AA45,0)</f>
        <v>0</v>
      </c>
      <c r="AW45" s="11">
        <f>IF(SUMIF($H$3:Z$3,Z$3,Sprint!$H45:Z45)=0,$G45,0)</f>
        <v>0</v>
      </c>
      <c r="AX45" s="20">
        <f t="shared" ca="1" si="2"/>
        <v>0</v>
      </c>
    </row>
    <row r="46" spans="1:50" x14ac:dyDescent="0.3">
      <c r="A46" s="22"/>
      <c r="B46" s="14" t="str">
        <f t="shared" ca="1" si="0"/>
        <v/>
      </c>
      <c r="C46" s="14"/>
      <c r="D46" s="14"/>
      <c r="E46" s="14" t="str">
        <f t="shared" ca="1" si="6"/>
        <v/>
      </c>
      <c r="F46" s="14"/>
      <c r="G46" s="14"/>
      <c r="H46" s="14"/>
      <c r="I46" s="15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32">
        <f>G46-SUMIF($H$3:$AA$3,H$3,Sprint!$H46:$AA46)</f>
        <v>0</v>
      </c>
      <c r="AC46" s="17" t="str">
        <f t="shared" ca="1" si="5"/>
        <v/>
      </c>
      <c r="AD46" s="10">
        <f>IF(SUMIF($H$3:H$3,H$3,Sprint!$H46:H46)&gt;0,I46,0)</f>
        <v>0</v>
      </c>
      <c r="AE46" s="42">
        <f>IF(SUMIF($H$3:H$3,H$3,Sprint!$H46:H46)=0,$G46,0)</f>
        <v>0</v>
      </c>
      <c r="AF46" s="10">
        <f>IF(SUMIF($H$3:J$3,J$3,Sprint!$H46:J46)&gt;0,K46,0)</f>
        <v>0</v>
      </c>
      <c r="AG46" s="42">
        <f>IF(SUMIF($H$3:J$3,J$3,Sprint!$H46:J46)=0,$G46,0)</f>
        <v>0</v>
      </c>
      <c r="AH46" s="10">
        <f>IF(SUMIF($H$3:L$3,L$3,Sprint!$H46:L46)&gt;0,M46,0)</f>
        <v>0</v>
      </c>
      <c r="AI46" s="42">
        <f>IF(SUMIF($H$3:L$3,L$3,Sprint!$H46:L46)=0,$G46,0)</f>
        <v>0</v>
      </c>
      <c r="AJ46" s="10">
        <f>IF(SUMIF($H$3:N$3,N$3,Sprint!$H46:N46)&gt;0,O46,0)</f>
        <v>0</v>
      </c>
      <c r="AK46" s="42">
        <f>IF(SUMIF($H$3:N$3,N$3,Sprint!$H46:N46)=0,$G46,0)</f>
        <v>0</v>
      </c>
      <c r="AL46" s="10">
        <f>IF(SUMIF($H$3:P$3,P$3,Sprint!$H46:P46)&gt;0,Q46,0)</f>
        <v>0</v>
      </c>
      <c r="AM46" s="42">
        <f>IF(SUMIF($H$3:P$3,P$3,Sprint!$H46:P46)=0,$G46,0)</f>
        <v>0</v>
      </c>
      <c r="AN46" s="10">
        <f>IF(SUMIF($H$3:R$3,R$3,Sprint!$H46:R46)&gt;0,S46,0)</f>
        <v>0</v>
      </c>
      <c r="AO46" s="42">
        <f>IF(SUMIF($H$3:R$3,R$3,Sprint!$H46:R46)=0,$G46,0)</f>
        <v>0</v>
      </c>
      <c r="AP46" s="10">
        <f>IF(SUMIF($H$3:T$3,T$3,Sprint!$H46:T46)&gt;0,U46,0)</f>
        <v>0</v>
      </c>
      <c r="AQ46" s="42">
        <f>IF(SUMIF($H$3:T$3,T$3,Sprint!$H46:T46)=0,$G46,0)</f>
        <v>0</v>
      </c>
      <c r="AR46" s="10">
        <f>IF(SUMIF($H$3:V$3,V$3,Sprint!$H46:V46)&gt;0,W46,0)</f>
        <v>0</v>
      </c>
      <c r="AS46" s="42">
        <f>IF(SUMIF($H$3:V$3,V$3,Sprint!$H46:V46)=0,$G46,0)</f>
        <v>0</v>
      </c>
      <c r="AT46" s="10">
        <f>IF(SUMIF($H$3:X$3,X$3,Sprint!$H46:X46)&gt;0,Y46,0)</f>
        <v>0</v>
      </c>
      <c r="AU46" s="42">
        <f>IF(SUMIF($H$3:X$3,X$3,Sprint!$H46:X46)=0,$G46,0)</f>
        <v>0</v>
      </c>
      <c r="AV46" s="10">
        <f>IF(SUMIF($H$3:Z$3,Z$3,Sprint!$H46:Z46)&gt;0,AA46,0)</f>
        <v>0</v>
      </c>
      <c r="AW46" s="11">
        <f>IF(SUMIF($H$3:Z$3,Z$3,Sprint!$H46:Z46)=0,$G46,0)</f>
        <v>0</v>
      </c>
      <c r="AX46" s="20">
        <f t="shared" ca="1" si="2"/>
        <v>0</v>
      </c>
    </row>
    <row r="47" spans="1:50" x14ac:dyDescent="0.3">
      <c r="A47" s="22"/>
      <c r="B47" s="14" t="str">
        <f t="shared" ca="1" si="0"/>
        <v/>
      </c>
      <c r="C47" s="14"/>
      <c r="D47" s="14"/>
      <c r="E47" s="14" t="str">
        <f t="shared" ca="1" si="6"/>
        <v/>
      </c>
      <c r="F47" s="14"/>
      <c r="G47" s="14"/>
      <c r="H47" s="14"/>
      <c r="I47" s="15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32">
        <f>G47-SUMIF($H$3:$AA$3,H$3,Sprint!$H47:$AA47)</f>
        <v>0</v>
      </c>
      <c r="AC47" s="17" t="str">
        <f t="shared" ca="1" si="5"/>
        <v/>
      </c>
      <c r="AD47" s="10">
        <f>IF(SUMIF($H$3:H$3,H$3,Sprint!$H47:H47)&gt;0,I47,0)</f>
        <v>0</v>
      </c>
      <c r="AE47" s="42">
        <f>IF(SUMIF($H$3:H$3,H$3,Sprint!$H47:H47)=0,$G47,0)</f>
        <v>0</v>
      </c>
      <c r="AF47" s="10">
        <f>IF(SUMIF($H$3:J$3,J$3,Sprint!$H47:J47)&gt;0,K47,0)</f>
        <v>0</v>
      </c>
      <c r="AG47" s="42">
        <f>IF(SUMIF($H$3:J$3,J$3,Sprint!$H47:J47)=0,$G47,0)</f>
        <v>0</v>
      </c>
      <c r="AH47" s="10">
        <f>IF(SUMIF($H$3:L$3,L$3,Sprint!$H47:L47)&gt;0,M47,0)</f>
        <v>0</v>
      </c>
      <c r="AI47" s="42">
        <f>IF(SUMIF($H$3:L$3,L$3,Sprint!$H47:L47)=0,$G47,0)</f>
        <v>0</v>
      </c>
      <c r="AJ47" s="10">
        <f>IF(SUMIF($H$3:N$3,N$3,Sprint!$H47:N47)&gt;0,O47,0)</f>
        <v>0</v>
      </c>
      <c r="AK47" s="42">
        <f>IF(SUMIF($H$3:N$3,N$3,Sprint!$H47:N47)=0,$G47,0)</f>
        <v>0</v>
      </c>
      <c r="AL47" s="10">
        <f>IF(SUMIF($H$3:P$3,P$3,Sprint!$H47:P47)&gt;0,Q47,0)</f>
        <v>0</v>
      </c>
      <c r="AM47" s="42">
        <f>IF(SUMIF($H$3:P$3,P$3,Sprint!$H47:P47)=0,$G47,0)</f>
        <v>0</v>
      </c>
      <c r="AN47" s="10">
        <f>IF(SUMIF($H$3:R$3,R$3,Sprint!$H47:R47)&gt;0,S47,0)</f>
        <v>0</v>
      </c>
      <c r="AO47" s="42">
        <f>IF(SUMIF($H$3:R$3,R$3,Sprint!$H47:R47)=0,$G47,0)</f>
        <v>0</v>
      </c>
      <c r="AP47" s="10">
        <f>IF(SUMIF($H$3:T$3,T$3,Sprint!$H47:T47)&gt;0,U47,0)</f>
        <v>0</v>
      </c>
      <c r="AQ47" s="42">
        <f>IF(SUMIF($H$3:T$3,T$3,Sprint!$H47:T47)=0,$G47,0)</f>
        <v>0</v>
      </c>
      <c r="AR47" s="10">
        <f>IF(SUMIF($H$3:V$3,V$3,Sprint!$H47:V47)&gt;0,W47,0)</f>
        <v>0</v>
      </c>
      <c r="AS47" s="42">
        <f>IF(SUMIF($H$3:V$3,V$3,Sprint!$H47:V47)=0,$G47,0)</f>
        <v>0</v>
      </c>
      <c r="AT47" s="10">
        <f>IF(SUMIF($H$3:X$3,X$3,Sprint!$H47:X47)&gt;0,Y47,0)</f>
        <v>0</v>
      </c>
      <c r="AU47" s="42">
        <f>IF(SUMIF($H$3:X$3,X$3,Sprint!$H47:X47)=0,$G47,0)</f>
        <v>0</v>
      </c>
      <c r="AV47" s="10">
        <f>IF(SUMIF($H$3:Z$3,Z$3,Sprint!$H47:Z47)&gt;0,AA47,0)</f>
        <v>0</v>
      </c>
      <c r="AW47" s="11">
        <f>IF(SUMIF($H$3:Z$3,Z$3,Sprint!$H47:Z47)=0,$G47,0)</f>
        <v>0</v>
      </c>
      <c r="AX47" s="20">
        <f t="shared" ca="1" si="2"/>
        <v>0</v>
      </c>
    </row>
    <row r="48" spans="1:50" x14ac:dyDescent="0.3">
      <c r="A48" s="22"/>
      <c r="B48" s="14" t="str">
        <f t="shared" ca="1" si="0"/>
        <v/>
      </c>
      <c r="C48" s="14"/>
      <c r="D48" s="14"/>
      <c r="E48" s="14" t="str">
        <f t="shared" ca="1" si="6"/>
        <v/>
      </c>
      <c r="F48" s="14"/>
      <c r="G48" s="14"/>
      <c r="H48" s="14"/>
      <c r="I48" s="15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32">
        <f>G48-SUMIF($H$3:$AA$3,H$3,Sprint!$H48:$AA48)</f>
        <v>0</v>
      </c>
      <c r="AC48" s="17" t="str">
        <f t="shared" ca="1" si="5"/>
        <v/>
      </c>
      <c r="AD48" s="10">
        <f>IF(SUMIF($H$3:H$3,H$3,Sprint!$H48:H48)&gt;0,I48,0)</f>
        <v>0</v>
      </c>
      <c r="AE48" s="42">
        <f>IF(SUMIF($H$3:H$3,H$3,Sprint!$H48:H48)=0,$G48,0)</f>
        <v>0</v>
      </c>
      <c r="AF48" s="10">
        <f>IF(SUMIF($H$3:J$3,J$3,Sprint!$H48:J48)&gt;0,K48,0)</f>
        <v>0</v>
      </c>
      <c r="AG48" s="42">
        <f>IF(SUMIF($H$3:J$3,J$3,Sprint!$H48:J48)=0,$G48,0)</f>
        <v>0</v>
      </c>
      <c r="AH48" s="10">
        <f>IF(SUMIF($H$3:L$3,L$3,Sprint!$H48:L48)&gt;0,M48,0)</f>
        <v>0</v>
      </c>
      <c r="AI48" s="42">
        <f>IF(SUMIF($H$3:L$3,L$3,Sprint!$H48:L48)=0,$G48,0)</f>
        <v>0</v>
      </c>
      <c r="AJ48" s="10">
        <f>IF(SUMIF($H$3:N$3,N$3,Sprint!$H48:N48)&gt;0,O48,0)</f>
        <v>0</v>
      </c>
      <c r="AK48" s="42">
        <f>IF(SUMIF($H$3:N$3,N$3,Sprint!$H48:N48)=0,$G48,0)</f>
        <v>0</v>
      </c>
      <c r="AL48" s="10">
        <f>IF(SUMIF($H$3:P$3,P$3,Sprint!$H48:P48)&gt;0,Q48,0)</f>
        <v>0</v>
      </c>
      <c r="AM48" s="42">
        <f>IF(SUMIF($H$3:P$3,P$3,Sprint!$H48:P48)=0,$G48,0)</f>
        <v>0</v>
      </c>
      <c r="AN48" s="10">
        <f>IF(SUMIF($H$3:R$3,R$3,Sprint!$H48:R48)&gt;0,S48,0)</f>
        <v>0</v>
      </c>
      <c r="AO48" s="42">
        <f>IF(SUMIF($H$3:R$3,R$3,Sprint!$H48:R48)=0,$G48,0)</f>
        <v>0</v>
      </c>
      <c r="AP48" s="10">
        <f>IF(SUMIF($H$3:T$3,T$3,Sprint!$H48:T48)&gt;0,U48,0)</f>
        <v>0</v>
      </c>
      <c r="AQ48" s="42">
        <f>IF(SUMIF($H$3:T$3,T$3,Sprint!$H48:T48)=0,$G48,0)</f>
        <v>0</v>
      </c>
      <c r="AR48" s="10">
        <f>IF(SUMIF($H$3:V$3,V$3,Sprint!$H48:V48)&gt;0,W48,0)</f>
        <v>0</v>
      </c>
      <c r="AS48" s="42">
        <f>IF(SUMIF($H$3:V$3,V$3,Sprint!$H48:V48)=0,$G48,0)</f>
        <v>0</v>
      </c>
      <c r="AT48" s="10">
        <f>IF(SUMIF($H$3:X$3,X$3,Sprint!$H48:X48)&gt;0,Y48,0)</f>
        <v>0</v>
      </c>
      <c r="AU48" s="42">
        <f>IF(SUMIF($H$3:X$3,X$3,Sprint!$H48:X48)=0,$G48,0)</f>
        <v>0</v>
      </c>
      <c r="AV48" s="10">
        <f>IF(SUMIF($H$3:Z$3,Z$3,Sprint!$H48:Z48)&gt;0,AA48,0)</f>
        <v>0</v>
      </c>
      <c r="AW48" s="11">
        <f>IF(SUMIF($H$3:Z$3,Z$3,Sprint!$H48:Z48)=0,$G48,0)</f>
        <v>0</v>
      </c>
      <c r="AX48" s="20">
        <f t="shared" ca="1" si="2"/>
        <v>0</v>
      </c>
    </row>
    <row r="49" spans="1:50" x14ac:dyDescent="0.3">
      <c r="A49" s="22"/>
      <c r="B49" s="14" t="str">
        <f t="shared" ca="1" si="0"/>
        <v/>
      </c>
      <c r="C49" s="14"/>
      <c r="D49" s="14"/>
      <c r="E49" s="14" t="str">
        <f t="shared" ca="1" si="6"/>
        <v/>
      </c>
      <c r="F49" s="14"/>
      <c r="G49" s="14"/>
      <c r="H49" s="14"/>
      <c r="I49" s="15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32">
        <f>G49-SUMIF($H$3:$AA$3,H$3,Sprint!$H49:$AA49)</f>
        <v>0</v>
      </c>
      <c r="AC49" s="17" t="str">
        <f t="shared" ca="1" si="5"/>
        <v/>
      </c>
      <c r="AD49" s="10">
        <f>IF(SUMIF($H$3:H$3,H$3,Sprint!$H49:H49)&gt;0,I49,0)</f>
        <v>0</v>
      </c>
      <c r="AE49" s="42">
        <f>IF(SUMIF($H$3:H$3,H$3,Sprint!$H49:H49)=0,$G49,0)</f>
        <v>0</v>
      </c>
      <c r="AF49" s="10">
        <f>IF(SUMIF($H$3:J$3,J$3,Sprint!$H49:J49)&gt;0,K49,0)</f>
        <v>0</v>
      </c>
      <c r="AG49" s="42">
        <f>IF(SUMIF($H$3:J$3,J$3,Sprint!$H49:J49)=0,$G49,0)</f>
        <v>0</v>
      </c>
      <c r="AH49" s="10">
        <f>IF(SUMIF($H$3:L$3,L$3,Sprint!$H49:L49)&gt;0,M49,0)</f>
        <v>0</v>
      </c>
      <c r="AI49" s="42">
        <f>IF(SUMIF($H$3:L$3,L$3,Sprint!$H49:L49)=0,$G49,0)</f>
        <v>0</v>
      </c>
      <c r="AJ49" s="10">
        <f>IF(SUMIF($H$3:N$3,N$3,Sprint!$H49:N49)&gt;0,O49,0)</f>
        <v>0</v>
      </c>
      <c r="AK49" s="42">
        <f>IF(SUMIF($H$3:N$3,N$3,Sprint!$H49:N49)=0,$G49,0)</f>
        <v>0</v>
      </c>
      <c r="AL49" s="10">
        <f>IF(SUMIF($H$3:P$3,P$3,Sprint!$H49:P49)&gt;0,Q49,0)</f>
        <v>0</v>
      </c>
      <c r="AM49" s="42">
        <f>IF(SUMIF($H$3:P$3,P$3,Sprint!$H49:P49)=0,$G49,0)</f>
        <v>0</v>
      </c>
      <c r="AN49" s="10">
        <f>IF(SUMIF($H$3:R$3,R$3,Sprint!$H49:R49)&gt;0,S49,0)</f>
        <v>0</v>
      </c>
      <c r="AO49" s="42">
        <f>IF(SUMIF($H$3:R$3,R$3,Sprint!$H49:R49)=0,$G49,0)</f>
        <v>0</v>
      </c>
      <c r="AP49" s="10">
        <f>IF(SUMIF($H$3:T$3,T$3,Sprint!$H49:T49)&gt;0,U49,0)</f>
        <v>0</v>
      </c>
      <c r="AQ49" s="42">
        <f>IF(SUMIF($H$3:T$3,T$3,Sprint!$H49:T49)=0,$G49,0)</f>
        <v>0</v>
      </c>
      <c r="AR49" s="10">
        <f>IF(SUMIF($H$3:V$3,V$3,Sprint!$H49:V49)&gt;0,W49,0)</f>
        <v>0</v>
      </c>
      <c r="AS49" s="42">
        <f>IF(SUMIF($H$3:V$3,V$3,Sprint!$H49:V49)=0,$G49,0)</f>
        <v>0</v>
      </c>
      <c r="AT49" s="10">
        <f>IF(SUMIF($H$3:X$3,X$3,Sprint!$H49:X49)&gt;0,Y49,0)</f>
        <v>0</v>
      </c>
      <c r="AU49" s="42">
        <f>IF(SUMIF($H$3:X$3,X$3,Sprint!$H49:X49)=0,$G49,0)</f>
        <v>0</v>
      </c>
      <c r="AV49" s="10">
        <f>IF(SUMIF($H$3:Z$3,Z$3,Sprint!$H49:Z49)&gt;0,AA49,0)</f>
        <v>0</v>
      </c>
      <c r="AW49" s="11">
        <f>IF(SUMIF($H$3:Z$3,Z$3,Sprint!$H49:Z49)=0,$G49,0)</f>
        <v>0</v>
      </c>
      <c r="AX49" s="20">
        <f t="shared" ca="1" si="2"/>
        <v>0</v>
      </c>
    </row>
    <row r="50" spans="1:50" x14ac:dyDescent="0.3">
      <c r="A50" s="22"/>
      <c r="B50" s="14" t="str">
        <f t="shared" ca="1" si="0"/>
        <v/>
      </c>
      <c r="C50" s="14"/>
      <c r="D50" s="14"/>
      <c r="E50" s="14" t="str">
        <f t="shared" ca="1" si="6"/>
        <v/>
      </c>
      <c r="F50" s="14"/>
      <c r="G50" s="14"/>
      <c r="H50" s="14"/>
      <c r="I50" s="15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32">
        <f>G50-SUMIF($H$3:$AA$3,H$3,Sprint!$H50:$AA50)</f>
        <v>0</v>
      </c>
      <c r="AC50" s="17" t="str">
        <f t="shared" ca="1" si="5"/>
        <v/>
      </c>
      <c r="AD50" s="10">
        <f>IF(SUMIF($H$3:H$3,H$3,Sprint!$H50:H50)&gt;0,I50,0)</f>
        <v>0</v>
      </c>
      <c r="AE50" s="42">
        <f>IF(SUMIF($H$3:H$3,H$3,Sprint!$H50:H50)=0,$G50,0)</f>
        <v>0</v>
      </c>
      <c r="AF50" s="10">
        <f>IF(SUMIF($H$3:J$3,J$3,Sprint!$H50:J50)&gt;0,K50,0)</f>
        <v>0</v>
      </c>
      <c r="AG50" s="42">
        <f>IF(SUMIF($H$3:J$3,J$3,Sprint!$H50:J50)=0,$G50,0)</f>
        <v>0</v>
      </c>
      <c r="AH50" s="10">
        <f>IF(SUMIF($H$3:L$3,L$3,Sprint!$H50:L50)&gt;0,M50,0)</f>
        <v>0</v>
      </c>
      <c r="AI50" s="42">
        <f>IF(SUMIF($H$3:L$3,L$3,Sprint!$H50:L50)=0,$G50,0)</f>
        <v>0</v>
      </c>
      <c r="AJ50" s="10">
        <f>IF(SUMIF($H$3:N$3,N$3,Sprint!$H50:N50)&gt;0,O50,0)</f>
        <v>0</v>
      </c>
      <c r="AK50" s="42">
        <f>IF(SUMIF($H$3:N$3,N$3,Sprint!$H50:N50)=0,$G50,0)</f>
        <v>0</v>
      </c>
      <c r="AL50" s="10">
        <f>IF(SUMIF($H$3:P$3,P$3,Sprint!$H50:P50)&gt;0,Q50,0)</f>
        <v>0</v>
      </c>
      <c r="AM50" s="42">
        <f>IF(SUMIF($H$3:P$3,P$3,Sprint!$H50:P50)=0,$G50,0)</f>
        <v>0</v>
      </c>
      <c r="AN50" s="10">
        <f>IF(SUMIF($H$3:R$3,R$3,Sprint!$H50:R50)&gt;0,S50,0)</f>
        <v>0</v>
      </c>
      <c r="AO50" s="42">
        <f>IF(SUMIF($H$3:R$3,R$3,Sprint!$H50:R50)=0,$G50,0)</f>
        <v>0</v>
      </c>
      <c r="AP50" s="10">
        <f>IF(SUMIF($H$3:T$3,T$3,Sprint!$H50:T50)&gt;0,U50,0)</f>
        <v>0</v>
      </c>
      <c r="AQ50" s="42">
        <f>IF(SUMIF($H$3:T$3,T$3,Sprint!$H50:T50)=0,$G50,0)</f>
        <v>0</v>
      </c>
      <c r="AR50" s="10">
        <f>IF(SUMIF($H$3:V$3,V$3,Sprint!$H50:V50)&gt;0,W50,0)</f>
        <v>0</v>
      </c>
      <c r="AS50" s="42">
        <f>IF(SUMIF($H$3:V$3,V$3,Sprint!$H50:V50)=0,$G50,0)</f>
        <v>0</v>
      </c>
      <c r="AT50" s="10">
        <f>IF(SUMIF($H$3:X$3,X$3,Sprint!$H50:X50)&gt;0,Y50,0)</f>
        <v>0</v>
      </c>
      <c r="AU50" s="42">
        <f>IF(SUMIF($H$3:X$3,X$3,Sprint!$H50:X50)=0,$G50,0)</f>
        <v>0</v>
      </c>
      <c r="AV50" s="10">
        <f>IF(SUMIF($H$3:Z$3,Z$3,Sprint!$H50:Z50)&gt;0,AA50,0)</f>
        <v>0</v>
      </c>
      <c r="AW50" s="11">
        <f>IF(SUMIF($H$3:Z$3,Z$3,Sprint!$H50:Z50)=0,$G50,0)</f>
        <v>0</v>
      </c>
      <c r="AX50" s="20">
        <f t="shared" ca="1" si="2"/>
        <v>0</v>
      </c>
    </row>
    <row r="51" spans="1:50" x14ac:dyDescent="0.3">
      <c r="A51" s="22"/>
      <c r="B51" s="14" t="str">
        <f t="shared" ca="1" si="0"/>
        <v/>
      </c>
      <c r="C51" s="14"/>
      <c r="D51" s="14"/>
      <c r="E51" s="14" t="str">
        <f t="shared" ca="1" si="6"/>
        <v/>
      </c>
      <c r="F51" s="14"/>
      <c r="G51" s="14"/>
      <c r="H51" s="14"/>
      <c r="I51" s="15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32">
        <f>G51-SUMIF($H$3:$AA$3,H$3,Sprint!$H51:$AA51)</f>
        <v>0</v>
      </c>
      <c r="AC51" s="17" t="str">
        <f t="shared" ca="1" si="5"/>
        <v/>
      </c>
      <c r="AD51" s="10">
        <f>IF(SUMIF($H$3:H$3,H$3,Sprint!$H51:H51)&gt;0,I51,0)</f>
        <v>0</v>
      </c>
      <c r="AE51" s="42">
        <f>IF(SUMIF($H$3:H$3,H$3,Sprint!$H51:H51)=0,$G51,0)</f>
        <v>0</v>
      </c>
      <c r="AF51" s="10">
        <f>IF(SUMIF($H$3:J$3,J$3,Sprint!$H51:J51)&gt;0,K51,0)</f>
        <v>0</v>
      </c>
      <c r="AG51" s="42">
        <f>IF(SUMIF($H$3:J$3,J$3,Sprint!$H51:J51)=0,$G51,0)</f>
        <v>0</v>
      </c>
      <c r="AH51" s="10">
        <f>IF(SUMIF($H$3:L$3,L$3,Sprint!$H51:L51)&gt;0,M51,0)</f>
        <v>0</v>
      </c>
      <c r="AI51" s="42">
        <f>IF(SUMIF($H$3:L$3,L$3,Sprint!$H51:L51)=0,$G51,0)</f>
        <v>0</v>
      </c>
      <c r="AJ51" s="10">
        <f>IF(SUMIF($H$3:N$3,N$3,Sprint!$H51:N51)&gt;0,O51,0)</f>
        <v>0</v>
      </c>
      <c r="AK51" s="42">
        <f>IF(SUMIF($H$3:N$3,N$3,Sprint!$H51:N51)=0,$G51,0)</f>
        <v>0</v>
      </c>
      <c r="AL51" s="10">
        <f>IF(SUMIF($H$3:P$3,P$3,Sprint!$H51:P51)&gt;0,Q51,0)</f>
        <v>0</v>
      </c>
      <c r="AM51" s="42">
        <f>IF(SUMIF($H$3:P$3,P$3,Sprint!$H51:P51)=0,$G51,0)</f>
        <v>0</v>
      </c>
      <c r="AN51" s="10">
        <f>IF(SUMIF($H$3:R$3,R$3,Sprint!$H51:R51)&gt;0,S51,0)</f>
        <v>0</v>
      </c>
      <c r="AO51" s="42">
        <f>IF(SUMIF($H$3:R$3,R$3,Sprint!$H51:R51)=0,$G51,0)</f>
        <v>0</v>
      </c>
      <c r="AP51" s="10">
        <f>IF(SUMIF($H$3:T$3,T$3,Sprint!$H51:T51)&gt;0,U51,0)</f>
        <v>0</v>
      </c>
      <c r="AQ51" s="42">
        <f>IF(SUMIF($H$3:T$3,T$3,Sprint!$H51:T51)=0,$G51,0)</f>
        <v>0</v>
      </c>
      <c r="AR51" s="10">
        <f>IF(SUMIF($H$3:V$3,V$3,Sprint!$H51:V51)&gt;0,W51,0)</f>
        <v>0</v>
      </c>
      <c r="AS51" s="42">
        <f>IF(SUMIF($H$3:V$3,V$3,Sprint!$H51:V51)=0,$G51,0)</f>
        <v>0</v>
      </c>
      <c r="AT51" s="10">
        <f>IF(SUMIF($H$3:X$3,X$3,Sprint!$H51:X51)&gt;0,Y51,0)</f>
        <v>0</v>
      </c>
      <c r="AU51" s="42">
        <f>IF(SUMIF($H$3:X$3,X$3,Sprint!$H51:X51)=0,$G51,0)</f>
        <v>0</v>
      </c>
      <c r="AV51" s="10">
        <f>IF(SUMIF($H$3:Z$3,Z$3,Sprint!$H51:Z51)&gt;0,AA51,0)</f>
        <v>0</v>
      </c>
      <c r="AW51" s="11">
        <f>IF(SUMIF($H$3:Z$3,Z$3,Sprint!$H51:Z51)=0,$G51,0)</f>
        <v>0</v>
      </c>
      <c r="AX51" s="20">
        <f t="shared" ca="1" si="2"/>
        <v>0</v>
      </c>
    </row>
    <row r="52" spans="1:50" x14ac:dyDescent="0.3">
      <c r="A52" s="22"/>
      <c r="B52" s="14" t="str">
        <f t="shared" ca="1" si="0"/>
        <v/>
      </c>
      <c r="C52" s="14"/>
      <c r="D52" s="14"/>
      <c r="E52" s="14" t="str">
        <f t="shared" ca="1" si="6"/>
        <v/>
      </c>
      <c r="F52" s="14"/>
      <c r="G52" s="14"/>
      <c r="H52" s="14"/>
      <c r="I52" s="15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32">
        <f>G52-SUMIF($H$3:$AA$3,H$3,Sprint!$H52:$AA52)</f>
        <v>0</v>
      </c>
      <c r="AC52" s="17" t="str">
        <f t="shared" ca="1" si="5"/>
        <v/>
      </c>
      <c r="AD52" s="10">
        <f>IF(SUMIF($H$3:H$3,H$3,Sprint!$H52:H52)&gt;0,I52,0)</f>
        <v>0</v>
      </c>
      <c r="AE52" s="42">
        <f>IF(SUMIF($H$3:H$3,H$3,Sprint!$H52:H52)=0,$G52,0)</f>
        <v>0</v>
      </c>
      <c r="AF52" s="10">
        <f>IF(SUMIF($H$3:J$3,J$3,Sprint!$H52:J52)&gt;0,K52,0)</f>
        <v>0</v>
      </c>
      <c r="AG52" s="42">
        <f>IF(SUMIF($H$3:J$3,J$3,Sprint!$H52:J52)=0,$G52,0)</f>
        <v>0</v>
      </c>
      <c r="AH52" s="10">
        <f>IF(SUMIF($H$3:L$3,L$3,Sprint!$H52:L52)&gt;0,M52,0)</f>
        <v>0</v>
      </c>
      <c r="AI52" s="42">
        <f>IF(SUMIF($H$3:L$3,L$3,Sprint!$H52:L52)=0,$G52,0)</f>
        <v>0</v>
      </c>
      <c r="AJ52" s="10">
        <f>IF(SUMIF($H$3:N$3,N$3,Sprint!$H52:N52)&gt;0,O52,0)</f>
        <v>0</v>
      </c>
      <c r="AK52" s="42">
        <f>IF(SUMIF($H$3:N$3,N$3,Sprint!$H52:N52)=0,$G52,0)</f>
        <v>0</v>
      </c>
      <c r="AL52" s="10">
        <f>IF(SUMIF($H$3:P$3,P$3,Sprint!$H52:P52)&gt;0,Q52,0)</f>
        <v>0</v>
      </c>
      <c r="AM52" s="42">
        <f>IF(SUMIF($H$3:P$3,P$3,Sprint!$H52:P52)=0,$G52,0)</f>
        <v>0</v>
      </c>
      <c r="AN52" s="10">
        <f>IF(SUMIF($H$3:R$3,R$3,Sprint!$H52:R52)&gt;0,S52,0)</f>
        <v>0</v>
      </c>
      <c r="AO52" s="42">
        <f>IF(SUMIF($H$3:R$3,R$3,Sprint!$H52:R52)=0,$G52,0)</f>
        <v>0</v>
      </c>
      <c r="AP52" s="10">
        <f>IF(SUMIF($H$3:T$3,T$3,Sprint!$H52:T52)&gt;0,U52,0)</f>
        <v>0</v>
      </c>
      <c r="AQ52" s="42">
        <f>IF(SUMIF($H$3:T$3,T$3,Sprint!$H52:T52)=0,$G52,0)</f>
        <v>0</v>
      </c>
      <c r="AR52" s="10">
        <f>IF(SUMIF($H$3:V$3,V$3,Sprint!$H52:V52)&gt;0,W52,0)</f>
        <v>0</v>
      </c>
      <c r="AS52" s="42">
        <f>IF(SUMIF($H$3:V$3,V$3,Sprint!$H52:V52)=0,$G52,0)</f>
        <v>0</v>
      </c>
      <c r="AT52" s="10">
        <f>IF(SUMIF($H$3:X$3,X$3,Sprint!$H52:X52)&gt;0,Y52,0)</f>
        <v>0</v>
      </c>
      <c r="AU52" s="42">
        <f>IF(SUMIF($H$3:X$3,X$3,Sprint!$H52:X52)=0,$G52,0)</f>
        <v>0</v>
      </c>
      <c r="AV52" s="10">
        <f>IF(SUMIF($H$3:Z$3,Z$3,Sprint!$H52:Z52)&gt;0,AA52,0)</f>
        <v>0</v>
      </c>
      <c r="AW52" s="11">
        <f>IF(SUMIF($H$3:Z$3,Z$3,Sprint!$H52:Z52)=0,$G52,0)</f>
        <v>0</v>
      </c>
      <c r="AX52" s="20">
        <f t="shared" ca="1" si="2"/>
        <v>0</v>
      </c>
    </row>
    <row r="53" spans="1:50" x14ac:dyDescent="0.3">
      <c r="A53" s="22"/>
      <c r="B53" s="14" t="str">
        <f t="shared" ca="1" si="0"/>
        <v/>
      </c>
      <c r="C53" s="14"/>
      <c r="D53" s="14"/>
      <c r="E53" s="14" t="str">
        <f t="shared" ca="1" si="6"/>
        <v/>
      </c>
      <c r="F53" s="14"/>
      <c r="G53" s="14"/>
      <c r="H53" s="14"/>
      <c r="I53" s="15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32">
        <f>G53-SUMIF($H$3:$AA$3,H$3,Sprint!$H53:$AA53)</f>
        <v>0</v>
      </c>
      <c r="AC53" s="17" t="str">
        <f t="shared" ca="1" si="5"/>
        <v/>
      </c>
      <c r="AD53" s="10">
        <f>IF(SUMIF($H$3:H$3,H$3,Sprint!$H53:H53)&gt;0,I53,0)</f>
        <v>0</v>
      </c>
      <c r="AE53" s="42">
        <f>IF(SUMIF($H$3:H$3,H$3,Sprint!$H53:H53)=0,$G53,0)</f>
        <v>0</v>
      </c>
      <c r="AF53" s="10">
        <f>IF(SUMIF($H$3:J$3,J$3,Sprint!$H53:J53)&gt;0,K53,0)</f>
        <v>0</v>
      </c>
      <c r="AG53" s="42">
        <f>IF(SUMIF($H$3:J$3,J$3,Sprint!$H53:J53)=0,$G53,0)</f>
        <v>0</v>
      </c>
      <c r="AH53" s="10">
        <f>IF(SUMIF($H$3:L$3,L$3,Sprint!$H53:L53)&gt;0,M53,0)</f>
        <v>0</v>
      </c>
      <c r="AI53" s="42">
        <f>IF(SUMIF($H$3:L$3,L$3,Sprint!$H53:L53)=0,$G53,0)</f>
        <v>0</v>
      </c>
      <c r="AJ53" s="10">
        <f>IF(SUMIF($H$3:N$3,N$3,Sprint!$H53:N53)&gt;0,O53,0)</f>
        <v>0</v>
      </c>
      <c r="AK53" s="42">
        <f>IF(SUMIF($H$3:N$3,N$3,Sprint!$H53:N53)=0,$G53,0)</f>
        <v>0</v>
      </c>
      <c r="AL53" s="10">
        <f>IF(SUMIF($H$3:P$3,P$3,Sprint!$H53:P53)&gt;0,Q53,0)</f>
        <v>0</v>
      </c>
      <c r="AM53" s="42">
        <f>IF(SUMIF($H$3:P$3,P$3,Sprint!$H53:P53)=0,$G53,0)</f>
        <v>0</v>
      </c>
      <c r="AN53" s="10">
        <f>IF(SUMIF($H$3:R$3,R$3,Sprint!$H53:R53)&gt;0,S53,0)</f>
        <v>0</v>
      </c>
      <c r="AO53" s="42">
        <f>IF(SUMIF($H$3:R$3,R$3,Sprint!$H53:R53)=0,$G53,0)</f>
        <v>0</v>
      </c>
      <c r="AP53" s="10">
        <f>IF(SUMIF($H$3:T$3,T$3,Sprint!$H53:T53)&gt;0,U53,0)</f>
        <v>0</v>
      </c>
      <c r="AQ53" s="42">
        <f>IF(SUMIF($H$3:T$3,T$3,Sprint!$H53:T53)=0,$G53,0)</f>
        <v>0</v>
      </c>
      <c r="AR53" s="10">
        <f>IF(SUMIF($H$3:V$3,V$3,Sprint!$H53:V53)&gt;0,W53,0)</f>
        <v>0</v>
      </c>
      <c r="AS53" s="42">
        <f>IF(SUMIF($H$3:V$3,V$3,Sprint!$H53:V53)=0,$G53,0)</f>
        <v>0</v>
      </c>
      <c r="AT53" s="10">
        <f>IF(SUMIF($H$3:X$3,X$3,Sprint!$H53:X53)&gt;0,Y53,0)</f>
        <v>0</v>
      </c>
      <c r="AU53" s="42">
        <f>IF(SUMIF($H$3:X$3,X$3,Sprint!$H53:X53)=0,$G53,0)</f>
        <v>0</v>
      </c>
      <c r="AV53" s="10">
        <f>IF(SUMIF($H$3:Z$3,Z$3,Sprint!$H53:Z53)&gt;0,AA53,0)</f>
        <v>0</v>
      </c>
      <c r="AW53" s="11">
        <f>IF(SUMIF($H$3:Z$3,Z$3,Sprint!$H53:Z53)=0,$G53,0)</f>
        <v>0</v>
      </c>
      <c r="AX53" s="20">
        <f t="shared" ca="1" si="2"/>
        <v>0</v>
      </c>
    </row>
    <row r="54" spans="1:50" x14ac:dyDescent="0.3">
      <c r="A54" s="22"/>
      <c r="B54" s="14" t="str">
        <f t="shared" ca="1" si="0"/>
        <v/>
      </c>
      <c r="C54" s="14"/>
      <c r="D54" s="14"/>
      <c r="E54" s="36" t="str">
        <f t="shared" ca="1" si="6"/>
        <v/>
      </c>
      <c r="F54" s="14"/>
      <c r="G54" s="14"/>
      <c r="H54" s="14"/>
      <c r="I54" s="15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32">
        <f>G54-SUMIF($H$3:$AA$3,H$3,Sprint!$H54:$AA54)</f>
        <v>0</v>
      </c>
      <c r="AC54" s="17" t="str">
        <f t="shared" ca="1" si="5"/>
        <v/>
      </c>
      <c r="AD54" s="10">
        <f>IF(SUMIF($H$3:H$3,H$3,Sprint!$H54:H54)&gt;0,I54,0)</f>
        <v>0</v>
      </c>
      <c r="AE54" s="42">
        <f>IF(SUMIF($H$3:H$3,H$3,Sprint!$H54:H54)=0,$G54,0)</f>
        <v>0</v>
      </c>
      <c r="AF54" s="10">
        <f>IF(SUMIF($H$3:J$3,J$3,Sprint!$H54:J54)&gt;0,K54,0)</f>
        <v>0</v>
      </c>
      <c r="AG54" s="42">
        <f>IF(SUMIF($H$3:J$3,J$3,Sprint!$H54:J54)=0,$G54,0)</f>
        <v>0</v>
      </c>
      <c r="AH54" s="10">
        <f>IF(SUMIF($H$3:L$3,L$3,Sprint!$H54:L54)&gt;0,M54,0)</f>
        <v>0</v>
      </c>
      <c r="AI54" s="42">
        <f>IF(SUMIF($H$3:L$3,L$3,Sprint!$H54:L54)=0,$G54,0)</f>
        <v>0</v>
      </c>
      <c r="AJ54" s="10">
        <f>IF(SUMIF($H$3:N$3,N$3,Sprint!$H54:N54)&gt;0,O54,0)</f>
        <v>0</v>
      </c>
      <c r="AK54" s="42">
        <f>IF(SUMIF($H$3:N$3,N$3,Sprint!$H54:N54)=0,$G54,0)</f>
        <v>0</v>
      </c>
      <c r="AL54" s="10">
        <f>IF(SUMIF($H$3:P$3,P$3,Sprint!$H54:P54)&gt;0,Q54,0)</f>
        <v>0</v>
      </c>
      <c r="AM54" s="42">
        <f>IF(SUMIF($H$3:P$3,P$3,Sprint!$H54:P54)=0,$G54,0)</f>
        <v>0</v>
      </c>
      <c r="AN54" s="10">
        <f>IF(SUMIF($H$3:R$3,R$3,Sprint!$H54:R54)&gt;0,S54,0)</f>
        <v>0</v>
      </c>
      <c r="AO54" s="42">
        <f>IF(SUMIF($H$3:R$3,R$3,Sprint!$H54:R54)=0,$G54,0)</f>
        <v>0</v>
      </c>
      <c r="AP54" s="10">
        <f>IF(SUMIF($H$3:T$3,T$3,Sprint!$H54:T54)&gt;0,U54,0)</f>
        <v>0</v>
      </c>
      <c r="AQ54" s="42">
        <f>IF(SUMIF($H$3:T$3,T$3,Sprint!$H54:T54)=0,$G54,0)</f>
        <v>0</v>
      </c>
      <c r="AR54" s="10">
        <f>IF(SUMIF($H$3:V$3,V$3,Sprint!$H54:V54)&gt;0,W54,0)</f>
        <v>0</v>
      </c>
      <c r="AS54" s="42">
        <f>IF(SUMIF($H$3:V$3,V$3,Sprint!$H54:V54)=0,$G54,0)</f>
        <v>0</v>
      </c>
      <c r="AT54" s="10">
        <f>IF(SUMIF($H$3:X$3,X$3,Sprint!$H54:X54)&gt;0,Y54,0)</f>
        <v>0</v>
      </c>
      <c r="AU54" s="42">
        <f>IF(SUMIF($H$3:X$3,X$3,Sprint!$H54:X54)=0,$G54,0)</f>
        <v>0</v>
      </c>
      <c r="AV54" s="10">
        <f>IF(SUMIF($H$3:Z$3,Z$3,Sprint!$H54:Z54)&gt;0,AA54,0)</f>
        <v>0</v>
      </c>
      <c r="AW54" s="11">
        <f>IF(SUMIF($H$3:Z$3,Z$3,Sprint!$H54:Z54)=0,$G54,0)</f>
        <v>0</v>
      </c>
      <c r="AX54" s="20">
        <f t="shared" ca="1" si="2"/>
        <v>0</v>
      </c>
    </row>
    <row r="55" spans="1:50" x14ac:dyDescent="0.3">
      <c r="A55" s="22"/>
      <c r="B55" s="14" t="str">
        <f t="shared" ca="1" si="0"/>
        <v/>
      </c>
      <c r="C55" s="14"/>
      <c r="D55" s="14"/>
      <c r="E55" s="14" t="str">
        <f t="shared" ca="1" si="6"/>
        <v/>
      </c>
      <c r="F55" s="14"/>
      <c r="G55" s="14"/>
      <c r="H55" s="14"/>
      <c r="I55" s="15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32">
        <f>G55-SUMIF($H$3:$AA$3,H$3,Sprint!$H55:$AA55)</f>
        <v>0</v>
      </c>
      <c r="AC55" s="17" t="str">
        <f t="shared" ca="1" si="5"/>
        <v/>
      </c>
      <c r="AD55" s="10">
        <f>IF(SUMIF($H$3:H$3,H$3,Sprint!$H55:H55)&gt;0,I55,0)</f>
        <v>0</v>
      </c>
      <c r="AE55" s="42">
        <f>IF(SUMIF($H$3:H$3,H$3,Sprint!$H55:H55)=0,$G55,0)</f>
        <v>0</v>
      </c>
      <c r="AF55" s="10">
        <f>IF(SUMIF($H$3:J$3,J$3,Sprint!$H55:J55)&gt;0,K55,0)</f>
        <v>0</v>
      </c>
      <c r="AG55" s="42">
        <f>IF(SUMIF($H$3:J$3,J$3,Sprint!$H55:J55)=0,$G55,0)</f>
        <v>0</v>
      </c>
      <c r="AH55" s="10">
        <f>IF(SUMIF($H$3:L$3,L$3,Sprint!$H55:L55)&gt;0,M55,0)</f>
        <v>0</v>
      </c>
      <c r="AI55" s="42">
        <f>IF(SUMIF($H$3:L$3,L$3,Sprint!$H55:L55)=0,$G55,0)</f>
        <v>0</v>
      </c>
      <c r="AJ55" s="10">
        <f>IF(SUMIF($H$3:N$3,N$3,Sprint!$H55:N55)&gt;0,O55,0)</f>
        <v>0</v>
      </c>
      <c r="AK55" s="42">
        <f>IF(SUMIF($H$3:N$3,N$3,Sprint!$H55:N55)=0,$G55,0)</f>
        <v>0</v>
      </c>
      <c r="AL55" s="10">
        <f>IF(SUMIF($H$3:P$3,P$3,Sprint!$H55:P55)&gt;0,Q55,0)</f>
        <v>0</v>
      </c>
      <c r="AM55" s="42">
        <f>IF(SUMIF($H$3:P$3,P$3,Sprint!$H55:P55)=0,$G55,0)</f>
        <v>0</v>
      </c>
      <c r="AN55" s="10">
        <f>IF(SUMIF($H$3:R$3,R$3,Sprint!$H55:R55)&gt;0,S55,0)</f>
        <v>0</v>
      </c>
      <c r="AO55" s="42">
        <f>IF(SUMIF($H$3:R$3,R$3,Sprint!$H55:R55)=0,$G55,0)</f>
        <v>0</v>
      </c>
      <c r="AP55" s="10">
        <f>IF(SUMIF($H$3:T$3,T$3,Sprint!$H55:T55)&gt;0,U55,0)</f>
        <v>0</v>
      </c>
      <c r="AQ55" s="42">
        <f>IF(SUMIF($H$3:T$3,T$3,Sprint!$H55:T55)=0,$G55,0)</f>
        <v>0</v>
      </c>
      <c r="AR55" s="10">
        <f>IF(SUMIF($H$3:V$3,V$3,Sprint!$H55:V55)&gt;0,W55,0)</f>
        <v>0</v>
      </c>
      <c r="AS55" s="42">
        <f>IF(SUMIF($H$3:V$3,V$3,Sprint!$H55:V55)=0,$G55,0)</f>
        <v>0</v>
      </c>
      <c r="AT55" s="10">
        <f>IF(SUMIF($H$3:X$3,X$3,Sprint!$H55:X55)&gt;0,Y55,0)</f>
        <v>0</v>
      </c>
      <c r="AU55" s="42">
        <f>IF(SUMIF($H$3:X$3,X$3,Sprint!$H55:X55)=0,$G55,0)</f>
        <v>0</v>
      </c>
      <c r="AV55" s="10">
        <f>IF(SUMIF($H$3:Z$3,Z$3,Sprint!$H55:Z55)&gt;0,AA55,0)</f>
        <v>0</v>
      </c>
      <c r="AW55" s="11">
        <f>IF(SUMIF($H$3:Z$3,Z$3,Sprint!$H55:Z55)=0,$G55,0)</f>
        <v>0</v>
      </c>
      <c r="AX55" s="20">
        <f t="shared" ca="1" si="2"/>
        <v>0</v>
      </c>
    </row>
    <row r="56" spans="1:50" x14ac:dyDescent="0.3">
      <c r="A56" s="22"/>
      <c r="B56" s="14" t="str">
        <f t="shared" ca="1" si="0"/>
        <v/>
      </c>
      <c r="C56" s="14"/>
      <c r="D56" s="14"/>
      <c r="E56" s="14" t="str">
        <f t="shared" ca="1" si="6"/>
        <v/>
      </c>
      <c r="F56" s="14"/>
      <c r="G56" s="14"/>
      <c r="H56" s="14"/>
      <c r="I56" s="15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32">
        <f>G56-SUMIF($H$3:$AA$3,H$3,Sprint!$H56:$AA56)</f>
        <v>0</v>
      </c>
      <c r="AC56" s="17" t="str">
        <f t="shared" ca="1" si="5"/>
        <v/>
      </c>
      <c r="AD56" s="10">
        <f>IF(SUMIF($H$3:H$3,H$3,Sprint!$H56:H56)&gt;0,I56,0)</f>
        <v>0</v>
      </c>
      <c r="AE56" s="42">
        <f>IF(SUMIF($H$3:H$3,H$3,Sprint!$H56:H56)=0,$G56,0)</f>
        <v>0</v>
      </c>
      <c r="AF56" s="10">
        <f>IF(SUMIF($H$3:J$3,J$3,Sprint!$H56:J56)&gt;0,K56,0)</f>
        <v>0</v>
      </c>
      <c r="AG56" s="42">
        <f>IF(SUMIF($H$3:J$3,J$3,Sprint!$H56:J56)=0,$G56,0)</f>
        <v>0</v>
      </c>
      <c r="AH56" s="10">
        <f>IF(SUMIF($H$3:L$3,L$3,Sprint!$H56:L56)&gt;0,M56,0)</f>
        <v>0</v>
      </c>
      <c r="AI56" s="42">
        <f>IF(SUMIF($H$3:L$3,L$3,Sprint!$H56:L56)=0,$G56,0)</f>
        <v>0</v>
      </c>
      <c r="AJ56" s="10">
        <f>IF(SUMIF($H$3:N$3,N$3,Sprint!$H56:N56)&gt;0,O56,0)</f>
        <v>0</v>
      </c>
      <c r="AK56" s="42">
        <f>IF(SUMIF($H$3:N$3,N$3,Sprint!$H56:N56)=0,$G56,0)</f>
        <v>0</v>
      </c>
      <c r="AL56" s="10">
        <f>IF(SUMIF($H$3:P$3,P$3,Sprint!$H56:P56)&gt;0,Q56,0)</f>
        <v>0</v>
      </c>
      <c r="AM56" s="42">
        <f>IF(SUMIF($H$3:P$3,P$3,Sprint!$H56:P56)=0,$G56,0)</f>
        <v>0</v>
      </c>
      <c r="AN56" s="10">
        <f>IF(SUMIF($H$3:R$3,R$3,Sprint!$H56:R56)&gt;0,S56,0)</f>
        <v>0</v>
      </c>
      <c r="AO56" s="42">
        <f>IF(SUMIF($H$3:R$3,R$3,Sprint!$H56:R56)=0,$G56,0)</f>
        <v>0</v>
      </c>
      <c r="AP56" s="10">
        <f>IF(SUMIF($H$3:T$3,T$3,Sprint!$H56:T56)&gt;0,U56,0)</f>
        <v>0</v>
      </c>
      <c r="AQ56" s="42">
        <f>IF(SUMIF($H$3:T$3,T$3,Sprint!$H56:T56)=0,$G56,0)</f>
        <v>0</v>
      </c>
      <c r="AR56" s="10">
        <f>IF(SUMIF($H$3:V$3,V$3,Sprint!$H56:V56)&gt;0,W56,0)</f>
        <v>0</v>
      </c>
      <c r="AS56" s="42">
        <f>IF(SUMIF($H$3:V$3,V$3,Sprint!$H56:V56)=0,$G56,0)</f>
        <v>0</v>
      </c>
      <c r="AT56" s="10">
        <f>IF(SUMIF($H$3:X$3,X$3,Sprint!$H56:X56)&gt;0,Y56,0)</f>
        <v>0</v>
      </c>
      <c r="AU56" s="42">
        <f>IF(SUMIF($H$3:X$3,X$3,Sprint!$H56:X56)=0,$G56,0)</f>
        <v>0</v>
      </c>
      <c r="AV56" s="10">
        <f>IF(SUMIF($H$3:Z$3,Z$3,Sprint!$H56:Z56)&gt;0,AA56,0)</f>
        <v>0</v>
      </c>
      <c r="AW56" s="11">
        <f>IF(SUMIF($H$3:Z$3,Z$3,Sprint!$H56:Z56)=0,$G56,0)</f>
        <v>0</v>
      </c>
      <c r="AX56" s="20">
        <f t="shared" ca="1" si="2"/>
        <v>0</v>
      </c>
    </row>
    <row r="57" spans="1:50" x14ac:dyDescent="0.3">
      <c r="A57" s="22"/>
      <c r="B57" s="14" t="str">
        <f t="shared" ca="1" si="0"/>
        <v/>
      </c>
      <c r="C57" s="14"/>
      <c r="D57" s="14"/>
      <c r="E57" s="14" t="str">
        <f t="shared" ca="1" si="6"/>
        <v/>
      </c>
      <c r="F57" s="14"/>
      <c r="G57" s="14"/>
      <c r="H57" s="14"/>
      <c r="I57" s="15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32">
        <f>G57-SUMIF($H$3:$AA$3,H$3,Sprint!$H57:$AA57)</f>
        <v>0</v>
      </c>
      <c r="AC57" s="17" t="str">
        <f t="shared" ca="1" si="5"/>
        <v/>
      </c>
      <c r="AD57" s="10">
        <f>IF(SUMIF($H$3:H$3,H$3,Sprint!$H57:H57)&gt;0,I57,0)</f>
        <v>0</v>
      </c>
      <c r="AE57" s="42">
        <f>IF(SUMIF($H$3:H$3,H$3,Sprint!$H57:H57)=0,$G57,0)</f>
        <v>0</v>
      </c>
      <c r="AF57" s="10">
        <f>IF(SUMIF($H$3:J$3,J$3,Sprint!$H57:J57)&gt;0,K57,0)</f>
        <v>0</v>
      </c>
      <c r="AG57" s="42">
        <f>IF(SUMIF($H$3:J$3,J$3,Sprint!$H57:J57)=0,$G57,0)</f>
        <v>0</v>
      </c>
      <c r="AH57" s="10">
        <f>IF(SUMIF($H$3:L$3,L$3,Sprint!$H57:L57)&gt;0,M57,0)</f>
        <v>0</v>
      </c>
      <c r="AI57" s="42">
        <f>IF(SUMIF($H$3:L$3,L$3,Sprint!$H57:L57)=0,$G57,0)</f>
        <v>0</v>
      </c>
      <c r="AJ57" s="10">
        <f>IF(SUMIF($H$3:N$3,N$3,Sprint!$H57:N57)&gt;0,O57,0)</f>
        <v>0</v>
      </c>
      <c r="AK57" s="42">
        <f>IF(SUMIF($H$3:N$3,N$3,Sprint!$H57:N57)=0,$G57,0)</f>
        <v>0</v>
      </c>
      <c r="AL57" s="10">
        <f>IF(SUMIF($H$3:P$3,P$3,Sprint!$H57:P57)&gt;0,Q57,0)</f>
        <v>0</v>
      </c>
      <c r="AM57" s="42">
        <f>IF(SUMIF($H$3:P$3,P$3,Sprint!$H57:P57)=0,$G57,0)</f>
        <v>0</v>
      </c>
      <c r="AN57" s="10">
        <f>IF(SUMIF($H$3:R$3,R$3,Sprint!$H57:R57)&gt;0,S57,0)</f>
        <v>0</v>
      </c>
      <c r="AO57" s="42">
        <f>IF(SUMIF($H$3:R$3,R$3,Sprint!$H57:R57)=0,$G57,0)</f>
        <v>0</v>
      </c>
      <c r="AP57" s="10">
        <f>IF(SUMIF($H$3:T$3,T$3,Sprint!$H57:T57)&gt;0,U57,0)</f>
        <v>0</v>
      </c>
      <c r="AQ57" s="42">
        <f>IF(SUMIF($H$3:T$3,T$3,Sprint!$H57:T57)=0,$G57,0)</f>
        <v>0</v>
      </c>
      <c r="AR57" s="10">
        <f>IF(SUMIF($H$3:V$3,V$3,Sprint!$H57:V57)&gt;0,W57,0)</f>
        <v>0</v>
      </c>
      <c r="AS57" s="42">
        <f>IF(SUMIF($H$3:V$3,V$3,Sprint!$H57:V57)=0,$G57,0)</f>
        <v>0</v>
      </c>
      <c r="AT57" s="10">
        <f>IF(SUMIF($H$3:X$3,X$3,Sprint!$H57:X57)&gt;0,Y57,0)</f>
        <v>0</v>
      </c>
      <c r="AU57" s="42">
        <f>IF(SUMIF($H$3:X$3,X$3,Sprint!$H57:X57)=0,$G57,0)</f>
        <v>0</v>
      </c>
      <c r="AV57" s="10">
        <f>IF(SUMIF($H$3:Z$3,Z$3,Sprint!$H57:Z57)&gt;0,AA57,0)</f>
        <v>0</v>
      </c>
      <c r="AW57" s="11">
        <f>IF(SUMIF($H$3:Z$3,Z$3,Sprint!$H57:Z57)=0,$G57,0)</f>
        <v>0</v>
      </c>
      <c r="AX57" s="20">
        <f t="shared" ca="1" si="2"/>
        <v>0</v>
      </c>
    </row>
    <row r="58" spans="1:50" x14ac:dyDescent="0.3">
      <c r="A58" s="22"/>
      <c r="B58" s="14" t="str">
        <f t="shared" ca="1" si="0"/>
        <v/>
      </c>
      <c r="C58" s="14"/>
      <c r="D58" s="14"/>
      <c r="E58" s="14" t="str">
        <f t="shared" ca="1" si="6"/>
        <v/>
      </c>
      <c r="F58" s="14"/>
      <c r="G58" s="14"/>
      <c r="H58" s="14"/>
      <c r="I58" s="15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32">
        <f>G58-SUMIF($H$3:$AA$3,H$3,Sprint!$H58:$AA58)</f>
        <v>0</v>
      </c>
      <c r="AC58" s="17" t="str">
        <f t="shared" ca="1" si="5"/>
        <v/>
      </c>
      <c r="AD58" s="10">
        <f>IF(SUMIF($H$3:H$3,H$3,Sprint!$H58:H58)&gt;0,I58,0)</f>
        <v>0</v>
      </c>
      <c r="AE58" s="42">
        <f>IF(SUMIF($H$3:H$3,H$3,Sprint!$H58:H58)=0,$G58,0)</f>
        <v>0</v>
      </c>
      <c r="AF58" s="10">
        <f>IF(SUMIF($H$3:J$3,J$3,Sprint!$H58:J58)&gt;0,K58,0)</f>
        <v>0</v>
      </c>
      <c r="AG58" s="42">
        <f>IF(SUMIF($H$3:J$3,J$3,Sprint!$H58:J58)=0,$G58,0)</f>
        <v>0</v>
      </c>
      <c r="AH58" s="10">
        <f>IF(SUMIF($H$3:L$3,L$3,Sprint!$H58:L58)&gt;0,M58,0)</f>
        <v>0</v>
      </c>
      <c r="AI58" s="42">
        <f>IF(SUMIF($H$3:L$3,L$3,Sprint!$H58:L58)=0,$G58,0)</f>
        <v>0</v>
      </c>
      <c r="AJ58" s="10">
        <f>IF(SUMIF($H$3:N$3,N$3,Sprint!$H58:N58)&gt;0,O58,0)</f>
        <v>0</v>
      </c>
      <c r="AK58" s="42">
        <f>IF(SUMIF($H$3:N$3,N$3,Sprint!$H58:N58)=0,$G58,0)</f>
        <v>0</v>
      </c>
      <c r="AL58" s="10">
        <f>IF(SUMIF($H$3:P$3,P$3,Sprint!$H58:P58)&gt;0,Q58,0)</f>
        <v>0</v>
      </c>
      <c r="AM58" s="42">
        <f>IF(SUMIF($H$3:P$3,P$3,Sprint!$H58:P58)=0,$G58,0)</f>
        <v>0</v>
      </c>
      <c r="AN58" s="10">
        <f>IF(SUMIF($H$3:R$3,R$3,Sprint!$H58:R58)&gt;0,S58,0)</f>
        <v>0</v>
      </c>
      <c r="AO58" s="42">
        <f>IF(SUMIF($H$3:R$3,R$3,Sprint!$H58:R58)=0,$G58,0)</f>
        <v>0</v>
      </c>
      <c r="AP58" s="10">
        <f>IF(SUMIF($H$3:T$3,T$3,Sprint!$H58:T58)&gt;0,U58,0)</f>
        <v>0</v>
      </c>
      <c r="AQ58" s="42">
        <f>IF(SUMIF($H$3:T$3,T$3,Sprint!$H58:T58)=0,$G58,0)</f>
        <v>0</v>
      </c>
      <c r="AR58" s="10">
        <f>IF(SUMIF($H$3:V$3,V$3,Sprint!$H58:V58)&gt;0,W58,0)</f>
        <v>0</v>
      </c>
      <c r="AS58" s="42">
        <f>IF(SUMIF($H$3:V$3,V$3,Sprint!$H58:V58)=0,$G58,0)</f>
        <v>0</v>
      </c>
      <c r="AT58" s="10">
        <f>IF(SUMIF($H$3:X$3,X$3,Sprint!$H58:X58)&gt;0,Y58,0)</f>
        <v>0</v>
      </c>
      <c r="AU58" s="42">
        <f>IF(SUMIF($H$3:X$3,X$3,Sprint!$H58:X58)=0,$G58,0)</f>
        <v>0</v>
      </c>
      <c r="AV58" s="10">
        <f>IF(SUMIF($H$3:Z$3,Z$3,Sprint!$H58:Z58)&gt;0,AA58,0)</f>
        <v>0</v>
      </c>
      <c r="AW58" s="11">
        <f>IF(SUMIF($H$3:Z$3,Z$3,Sprint!$H58:Z58)=0,$G58,0)</f>
        <v>0</v>
      </c>
      <c r="AX58" s="20">
        <f t="shared" ca="1" si="2"/>
        <v>0</v>
      </c>
    </row>
    <row r="59" spans="1:50" x14ac:dyDescent="0.3">
      <c r="A59" s="22"/>
      <c r="B59" s="14" t="str">
        <f t="shared" ca="1" si="0"/>
        <v/>
      </c>
      <c r="C59" s="14"/>
      <c r="D59" s="14"/>
      <c r="E59" s="14" t="str">
        <f t="shared" ca="1" si="6"/>
        <v/>
      </c>
      <c r="F59" s="14"/>
      <c r="G59" s="14"/>
      <c r="H59" s="14"/>
      <c r="I59" s="15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32">
        <f>G59-SUMIF($H$3:$AA$3,H$3,Sprint!$H59:$AA59)</f>
        <v>0</v>
      </c>
      <c r="AC59" s="17" t="str">
        <f t="shared" ca="1" si="5"/>
        <v/>
      </c>
      <c r="AD59" s="10">
        <f>IF(SUMIF($H$3:H$3,H$3,Sprint!$H59:H59)&gt;0,I59,0)</f>
        <v>0</v>
      </c>
      <c r="AE59" s="42">
        <f>IF(SUMIF($H$3:H$3,H$3,Sprint!$H59:H59)=0,$G59,0)</f>
        <v>0</v>
      </c>
      <c r="AF59" s="10">
        <f>IF(SUMIF($H$3:J$3,J$3,Sprint!$H59:J59)&gt;0,K59,0)</f>
        <v>0</v>
      </c>
      <c r="AG59" s="42">
        <f>IF(SUMIF($H$3:J$3,J$3,Sprint!$H59:J59)=0,$G59,0)</f>
        <v>0</v>
      </c>
      <c r="AH59" s="10">
        <f>IF(SUMIF($H$3:L$3,L$3,Sprint!$H59:L59)&gt;0,M59,0)</f>
        <v>0</v>
      </c>
      <c r="AI59" s="42">
        <f>IF(SUMIF($H$3:L$3,L$3,Sprint!$H59:L59)=0,$G59,0)</f>
        <v>0</v>
      </c>
      <c r="AJ59" s="10">
        <f>IF(SUMIF($H$3:N$3,N$3,Sprint!$H59:N59)&gt;0,O59,0)</f>
        <v>0</v>
      </c>
      <c r="AK59" s="42">
        <f>IF(SUMIF($H$3:N$3,N$3,Sprint!$H59:N59)=0,$G59,0)</f>
        <v>0</v>
      </c>
      <c r="AL59" s="10">
        <f>IF(SUMIF($H$3:P$3,P$3,Sprint!$H59:P59)&gt;0,Q59,0)</f>
        <v>0</v>
      </c>
      <c r="AM59" s="42">
        <f>IF(SUMIF($H$3:P$3,P$3,Sprint!$H59:P59)=0,$G59,0)</f>
        <v>0</v>
      </c>
      <c r="AN59" s="10">
        <f>IF(SUMIF($H$3:R$3,R$3,Sprint!$H59:R59)&gt;0,S59,0)</f>
        <v>0</v>
      </c>
      <c r="AO59" s="42">
        <f>IF(SUMIF($H$3:R$3,R$3,Sprint!$H59:R59)=0,$G59,0)</f>
        <v>0</v>
      </c>
      <c r="AP59" s="10">
        <f>IF(SUMIF($H$3:T$3,T$3,Sprint!$H59:T59)&gt;0,U59,0)</f>
        <v>0</v>
      </c>
      <c r="AQ59" s="42">
        <f>IF(SUMIF($H$3:T$3,T$3,Sprint!$H59:T59)=0,$G59,0)</f>
        <v>0</v>
      </c>
      <c r="AR59" s="10">
        <f>IF(SUMIF($H$3:V$3,V$3,Sprint!$H59:V59)&gt;0,W59,0)</f>
        <v>0</v>
      </c>
      <c r="AS59" s="42">
        <f>IF(SUMIF($H$3:V$3,V$3,Sprint!$H59:V59)=0,$G59,0)</f>
        <v>0</v>
      </c>
      <c r="AT59" s="10">
        <f>IF(SUMIF($H$3:X$3,X$3,Sprint!$H59:X59)&gt;0,Y59,0)</f>
        <v>0</v>
      </c>
      <c r="AU59" s="42">
        <f>IF(SUMIF($H$3:X$3,X$3,Sprint!$H59:X59)=0,$G59,0)</f>
        <v>0</v>
      </c>
      <c r="AV59" s="10">
        <f>IF(SUMIF($H$3:Z$3,Z$3,Sprint!$H59:Z59)&gt;0,AA59,0)</f>
        <v>0</v>
      </c>
      <c r="AW59" s="11">
        <f>IF(SUMIF($H$3:Z$3,Z$3,Sprint!$H59:Z59)=0,$G59,0)</f>
        <v>0</v>
      </c>
      <c r="AX59" s="20">
        <f t="shared" ca="1" si="2"/>
        <v>0</v>
      </c>
    </row>
    <row r="60" spans="1:50" x14ac:dyDescent="0.3">
      <c r="A60" s="22"/>
      <c r="B60" s="14" t="str">
        <f t="shared" ca="1" si="0"/>
        <v/>
      </c>
      <c r="C60" s="14"/>
      <c r="D60" s="14"/>
      <c r="E60" s="14" t="str">
        <f t="shared" ca="1" si="6"/>
        <v/>
      </c>
      <c r="F60" s="14"/>
      <c r="G60" s="14"/>
      <c r="H60" s="14"/>
      <c r="I60" s="15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32">
        <f>G60-SUMIF($H$3:$AA$3,H$3,Sprint!$H60:$AA60)</f>
        <v>0</v>
      </c>
      <c r="AC60" s="17" t="str">
        <f t="shared" ca="1" si="5"/>
        <v/>
      </c>
      <c r="AD60" s="10">
        <f>IF(SUMIF($H$3:H$3,H$3,Sprint!$H60:H60)&gt;0,I60,0)</f>
        <v>0</v>
      </c>
      <c r="AE60" s="42">
        <f>IF(SUMIF($H$3:H$3,H$3,Sprint!$H60:H60)=0,$G60,0)</f>
        <v>0</v>
      </c>
      <c r="AF60" s="10">
        <f>IF(SUMIF($H$3:J$3,J$3,Sprint!$H60:J60)&gt;0,K60,0)</f>
        <v>0</v>
      </c>
      <c r="AG60" s="42">
        <f>IF(SUMIF($H$3:J$3,J$3,Sprint!$H60:J60)=0,$G60,0)</f>
        <v>0</v>
      </c>
      <c r="AH60" s="10">
        <f>IF(SUMIF($H$3:L$3,L$3,Sprint!$H60:L60)&gt;0,M60,0)</f>
        <v>0</v>
      </c>
      <c r="AI60" s="42">
        <f>IF(SUMIF($H$3:L$3,L$3,Sprint!$H60:L60)=0,$G60,0)</f>
        <v>0</v>
      </c>
      <c r="AJ60" s="10">
        <f>IF(SUMIF($H$3:N$3,N$3,Sprint!$H60:N60)&gt;0,O60,0)</f>
        <v>0</v>
      </c>
      <c r="AK60" s="42">
        <f>IF(SUMIF($H$3:N$3,N$3,Sprint!$H60:N60)=0,$G60,0)</f>
        <v>0</v>
      </c>
      <c r="AL60" s="10">
        <f>IF(SUMIF($H$3:P$3,P$3,Sprint!$H60:P60)&gt;0,Q60,0)</f>
        <v>0</v>
      </c>
      <c r="AM60" s="42">
        <f>IF(SUMIF($H$3:P$3,P$3,Sprint!$H60:P60)=0,$G60,0)</f>
        <v>0</v>
      </c>
      <c r="AN60" s="10">
        <f>IF(SUMIF($H$3:R$3,R$3,Sprint!$H60:R60)&gt;0,S60,0)</f>
        <v>0</v>
      </c>
      <c r="AO60" s="42">
        <f>IF(SUMIF($H$3:R$3,R$3,Sprint!$H60:R60)=0,$G60,0)</f>
        <v>0</v>
      </c>
      <c r="AP60" s="10">
        <f>IF(SUMIF($H$3:T$3,T$3,Sprint!$H60:T60)&gt;0,U60,0)</f>
        <v>0</v>
      </c>
      <c r="AQ60" s="42">
        <f>IF(SUMIF($H$3:T$3,T$3,Sprint!$H60:T60)=0,$G60,0)</f>
        <v>0</v>
      </c>
      <c r="AR60" s="10">
        <f>IF(SUMIF($H$3:V$3,V$3,Sprint!$H60:V60)&gt;0,W60,0)</f>
        <v>0</v>
      </c>
      <c r="AS60" s="42">
        <f>IF(SUMIF($H$3:V$3,V$3,Sprint!$H60:V60)=0,$G60,0)</f>
        <v>0</v>
      </c>
      <c r="AT60" s="10">
        <f>IF(SUMIF($H$3:X$3,X$3,Sprint!$H60:X60)&gt;0,Y60,0)</f>
        <v>0</v>
      </c>
      <c r="AU60" s="42">
        <f>IF(SUMIF($H$3:X$3,X$3,Sprint!$H60:X60)=0,$G60,0)</f>
        <v>0</v>
      </c>
      <c r="AV60" s="10">
        <f>IF(SUMIF($H$3:Z$3,Z$3,Sprint!$H60:Z60)&gt;0,AA60,0)</f>
        <v>0</v>
      </c>
      <c r="AW60" s="11">
        <f>IF(SUMIF($H$3:Z$3,Z$3,Sprint!$H60:Z60)=0,$G60,0)</f>
        <v>0</v>
      </c>
      <c r="AX60" s="20">
        <f t="shared" ca="1" si="2"/>
        <v>0</v>
      </c>
    </row>
    <row r="61" spans="1:50" x14ac:dyDescent="0.3">
      <c r="A61" s="22"/>
      <c r="B61" s="14" t="str">
        <f t="shared" ca="1" si="0"/>
        <v/>
      </c>
      <c r="C61" s="14"/>
      <c r="D61" s="14"/>
      <c r="E61" s="14" t="str">
        <f t="shared" ca="1" si="6"/>
        <v/>
      </c>
      <c r="F61" s="14"/>
      <c r="G61" s="14"/>
      <c r="H61" s="14"/>
      <c r="I61" s="15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32">
        <f>G61-SUMIF($H$3:$AA$3,H$3,Sprint!$H61:$AA61)</f>
        <v>0</v>
      </c>
      <c r="AC61" s="17" t="str">
        <f t="shared" ca="1" si="5"/>
        <v/>
      </c>
      <c r="AD61" s="10">
        <f>IF(SUMIF($H$3:H$3,H$3,Sprint!$H61:H61)&gt;0,I61,0)</f>
        <v>0</v>
      </c>
      <c r="AE61" s="42">
        <f>IF(SUMIF($H$3:H$3,H$3,Sprint!$H61:H61)=0,$G61,0)</f>
        <v>0</v>
      </c>
      <c r="AF61" s="10">
        <f>IF(SUMIF($H$3:J$3,J$3,Sprint!$H61:J61)&gt;0,K61,0)</f>
        <v>0</v>
      </c>
      <c r="AG61" s="42">
        <f>IF(SUMIF($H$3:J$3,J$3,Sprint!$H61:J61)=0,$G61,0)</f>
        <v>0</v>
      </c>
      <c r="AH61" s="10">
        <f>IF(SUMIF($H$3:L$3,L$3,Sprint!$H61:L61)&gt;0,M61,0)</f>
        <v>0</v>
      </c>
      <c r="AI61" s="42">
        <f>IF(SUMIF($H$3:L$3,L$3,Sprint!$H61:L61)=0,$G61,0)</f>
        <v>0</v>
      </c>
      <c r="AJ61" s="10">
        <f>IF(SUMIF($H$3:N$3,N$3,Sprint!$H61:N61)&gt;0,O61,0)</f>
        <v>0</v>
      </c>
      <c r="AK61" s="42">
        <f>IF(SUMIF($H$3:N$3,N$3,Sprint!$H61:N61)=0,$G61,0)</f>
        <v>0</v>
      </c>
      <c r="AL61" s="10">
        <f>IF(SUMIF($H$3:P$3,P$3,Sprint!$H61:P61)&gt;0,Q61,0)</f>
        <v>0</v>
      </c>
      <c r="AM61" s="42">
        <f>IF(SUMIF($H$3:P$3,P$3,Sprint!$H61:P61)=0,$G61,0)</f>
        <v>0</v>
      </c>
      <c r="AN61" s="10">
        <f>IF(SUMIF($H$3:R$3,R$3,Sprint!$H61:R61)&gt;0,S61,0)</f>
        <v>0</v>
      </c>
      <c r="AO61" s="42">
        <f>IF(SUMIF($H$3:R$3,R$3,Sprint!$H61:R61)=0,$G61,0)</f>
        <v>0</v>
      </c>
      <c r="AP61" s="10">
        <f>IF(SUMIF($H$3:T$3,T$3,Sprint!$H61:T61)&gt;0,U61,0)</f>
        <v>0</v>
      </c>
      <c r="AQ61" s="42">
        <f>IF(SUMIF($H$3:T$3,T$3,Sprint!$H61:T61)=0,$G61,0)</f>
        <v>0</v>
      </c>
      <c r="AR61" s="10">
        <f>IF(SUMIF($H$3:V$3,V$3,Sprint!$H61:V61)&gt;0,W61,0)</f>
        <v>0</v>
      </c>
      <c r="AS61" s="42">
        <f>IF(SUMIF($H$3:V$3,V$3,Sprint!$H61:V61)=0,$G61,0)</f>
        <v>0</v>
      </c>
      <c r="AT61" s="10">
        <f>IF(SUMIF($H$3:X$3,X$3,Sprint!$H61:X61)&gt;0,Y61,0)</f>
        <v>0</v>
      </c>
      <c r="AU61" s="42">
        <f>IF(SUMIF($H$3:X$3,X$3,Sprint!$H61:X61)=0,$G61,0)</f>
        <v>0</v>
      </c>
      <c r="AV61" s="10">
        <f>IF(SUMIF($H$3:Z$3,Z$3,Sprint!$H61:Z61)&gt;0,AA61,0)</f>
        <v>0</v>
      </c>
      <c r="AW61" s="11">
        <f>IF(SUMIF($H$3:Z$3,Z$3,Sprint!$H61:Z61)=0,$G61,0)</f>
        <v>0</v>
      </c>
      <c r="AX61" s="20">
        <f t="shared" ca="1" si="2"/>
        <v>0</v>
      </c>
    </row>
    <row r="62" spans="1:50" x14ac:dyDescent="0.3">
      <c r="A62" s="22"/>
      <c r="B62" s="14" t="str">
        <f t="shared" ca="1" si="0"/>
        <v/>
      </c>
      <c r="C62" s="14"/>
      <c r="D62" s="14"/>
      <c r="E62" s="14" t="str">
        <f t="shared" ca="1" si="6"/>
        <v/>
      </c>
      <c r="F62" s="14"/>
      <c r="G62" s="14"/>
      <c r="H62" s="14"/>
      <c r="I62" s="15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32">
        <f>G62-SUMIF($H$3:$AA$3,H$3,Sprint!$H62:$AA62)</f>
        <v>0</v>
      </c>
      <c r="AC62" s="17" t="str">
        <f t="shared" ca="1" si="5"/>
        <v/>
      </c>
      <c r="AD62" s="10">
        <f>IF(SUMIF($H$3:H$3,H$3,Sprint!$H62:H62)&gt;0,I62,0)</f>
        <v>0</v>
      </c>
      <c r="AE62" s="42">
        <f>IF(SUMIF($H$3:H$3,H$3,Sprint!$H62:H62)=0,$G62,0)</f>
        <v>0</v>
      </c>
      <c r="AF62" s="10">
        <f>IF(SUMIF($H$3:J$3,J$3,Sprint!$H62:J62)&gt;0,K62,0)</f>
        <v>0</v>
      </c>
      <c r="AG62" s="42">
        <f>IF(SUMIF($H$3:J$3,J$3,Sprint!$H62:J62)=0,$G62,0)</f>
        <v>0</v>
      </c>
      <c r="AH62" s="10">
        <f>IF(SUMIF($H$3:L$3,L$3,Sprint!$H62:L62)&gt;0,M62,0)</f>
        <v>0</v>
      </c>
      <c r="AI62" s="42">
        <f>IF(SUMIF($H$3:L$3,L$3,Sprint!$H62:L62)=0,$G62,0)</f>
        <v>0</v>
      </c>
      <c r="AJ62" s="10">
        <f>IF(SUMIF($H$3:N$3,N$3,Sprint!$H62:N62)&gt;0,O62,0)</f>
        <v>0</v>
      </c>
      <c r="AK62" s="42">
        <f>IF(SUMIF($H$3:N$3,N$3,Sprint!$H62:N62)=0,$G62,0)</f>
        <v>0</v>
      </c>
      <c r="AL62" s="10">
        <f>IF(SUMIF($H$3:P$3,P$3,Sprint!$H62:P62)&gt;0,Q62,0)</f>
        <v>0</v>
      </c>
      <c r="AM62" s="42">
        <f>IF(SUMIF($H$3:P$3,P$3,Sprint!$H62:P62)=0,$G62,0)</f>
        <v>0</v>
      </c>
      <c r="AN62" s="10">
        <f>IF(SUMIF($H$3:R$3,R$3,Sprint!$H62:R62)&gt;0,S62,0)</f>
        <v>0</v>
      </c>
      <c r="AO62" s="42">
        <f>IF(SUMIF($H$3:R$3,R$3,Sprint!$H62:R62)=0,$G62,0)</f>
        <v>0</v>
      </c>
      <c r="AP62" s="10">
        <f>IF(SUMIF($H$3:T$3,T$3,Sprint!$H62:T62)&gt;0,U62,0)</f>
        <v>0</v>
      </c>
      <c r="AQ62" s="42">
        <f>IF(SUMIF($H$3:T$3,T$3,Sprint!$H62:T62)=0,$G62,0)</f>
        <v>0</v>
      </c>
      <c r="AR62" s="10">
        <f>IF(SUMIF($H$3:V$3,V$3,Sprint!$H62:V62)&gt;0,W62,0)</f>
        <v>0</v>
      </c>
      <c r="AS62" s="42">
        <f>IF(SUMIF($H$3:V$3,V$3,Sprint!$H62:V62)=0,$G62,0)</f>
        <v>0</v>
      </c>
      <c r="AT62" s="10">
        <f>IF(SUMIF($H$3:X$3,X$3,Sprint!$H62:X62)&gt;0,Y62,0)</f>
        <v>0</v>
      </c>
      <c r="AU62" s="42">
        <f>IF(SUMIF($H$3:X$3,X$3,Sprint!$H62:X62)=0,$G62,0)</f>
        <v>0</v>
      </c>
      <c r="AV62" s="10">
        <f>IF(SUMIF($H$3:Z$3,Z$3,Sprint!$H62:Z62)&gt;0,AA62,0)</f>
        <v>0</v>
      </c>
      <c r="AW62" s="11">
        <f>IF(SUMIF($H$3:Z$3,Z$3,Sprint!$H62:Z62)=0,$G62,0)</f>
        <v>0</v>
      </c>
      <c r="AX62" s="20">
        <f t="shared" ca="1" si="2"/>
        <v>0</v>
      </c>
    </row>
    <row r="63" spans="1:50" x14ac:dyDescent="0.3">
      <c r="A63" s="22"/>
      <c r="B63" s="14" t="str">
        <f t="shared" ca="1" si="0"/>
        <v/>
      </c>
      <c r="C63" s="14"/>
      <c r="D63" s="14"/>
      <c r="E63" s="14" t="str">
        <f t="shared" ca="1" si="6"/>
        <v/>
      </c>
      <c r="F63" s="14"/>
      <c r="G63" s="14"/>
      <c r="H63" s="14"/>
      <c r="I63" s="15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32">
        <f>G63-SUMIF($H$3:$AA$3,H$3,Sprint!$H63:$AA63)</f>
        <v>0</v>
      </c>
      <c r="AC63" s="17" t="str">
        <f t="shared" ca="1" si="5"/>
        <v/>
      </c>
      <c r="AD63" s="10">
        <f>IF(SUMIF($H$3:H$3,H$3,Sprint!$H63:H63)&gt;0,I63,0)</f>
        <v>0</v>
      </c>
      <c r="AE63" s="42">
        <f>IF(SUMIF($H$3:H$3,H$3,Sprint!$H63:H63)=0,$G63,0)</f>
        <v>0</v>
      </c>
      <c r="AF63" s="10">
        <f>IF(SUMIF($H$3:J$3,J$3,Sprint!$H63:J63)&gt;0,K63,0)</f>
        <v>0</v>
      </c>
      <c r="AG63" s="42">
        <f>IF(SUMIF($H$3:J$3,J$3,Sprint!$H63:J63)=0,$G63,0)</f>
        <v>0</v>
      </c>
      <c r="AH63" s="10">
        <f>IF(SUMIF($H$3:L$3,L$3,Sprint!$H63:L63)&gt;0,M63,0)</f>
        <v>0</v>
      </c>
      <c r="AI63" s="42">
        <f>IF(SUMIF($H$3:L$3,L$3,Sprint!$H63:L63)=0,$G63,0)</f>
        <v>0</v>
      </c>
      <c r="AJ63" s="10">
        <f>IF(SUMIF($H$3:N$3,N$3,Sprint!$H63:N63)&gt;0,O63,0)</f>
        <v>0</v>
      </c>
      <c r="AK63" s="42">
        <f>IF(SUMIF($H$3:N$3,N$3,Sprint!$H63:N63)=0,$G63,0)</f>
        <v>0</v>
      </c>
      <c r="AL63" s="10">
        <f>IF(SUMIF($H$3:P$3,P$3,Sprint!$H63:P63)&gt;0,Q63,0)</f>
        <v>0</v>
      </c>
      <c r="AM63" s="42">
        <f>IF(SUMIF($H$3:P$3,P$3,Sprint!$H63:P63)=0,$G63,0)</f>
        <v>0</v>
      </c>
      <c r="AN63" s="10">
        <f>IF(SUMIF($H$3:R$3,R$3,Sprint!$H63:R63)&gt;0,S63,0)</f>
        <v>0</v>
      </c>
      <c r="AO63" s="42">
        <f>IF(SUMIF($H$3:R$3,R$3,Sprint!$H63:R63)=0,$G63,0)</f>
        <v>0</v>
      </c>
      <c r="AP63" s="10">
        <f>IF(SUMIF($H$3:T$3,T$3,Sprint!$H63:T63)&gt;0,U63,0)</f>
        <v>0</v>
      </c>
      <c r="AQ63" s="42">
        <f>IF(SUMIF($H$3:T$3,T$3,Sprint!$H63:T63)=0,$G63,0)</f>
        <v>0</v>
      </c>
      <c r="AR63" s="10">
        <f>IF(SUMIF($H$3:V$3,V$3,Sprint!$H63:V63)&gt;0,W63,0)</f>
        <v>0</v>
      </c>
      <c r="AS63" s="42">
        <f>IF(SUMIF($H$3:V$3,V$3,Sprint!$H63:V63)=0,$G63,0)</f>
        <v>0</v>
      </c>
      <c r="AT63" s="10">
        <f>IF(SUMIF($H$3:X$3,X$3,Sprint!$H63:X63)&gt;0,Y63,0)</f>
        <v>0</v>
      </c>
      <c r="AU63" s="42">
        <f>IF(SUMIF($H$3:X$3,X$3,Sprint!$H63:X63)=0,$G63,0)</f>
        <v>0</v>
      </c>
      <c r="AV63" s="10">
        <f>IF(SUMIF($H$3:Z$3,Z$3,Sprint!$H63:Z63)&gt;0,AA63,0)</f>
        <v>0</v>
      </c>
      <c r="AW63" s="11">
        <f>IF(SUMIF($H$3:Z$3,Z$3,Sprint!$H63:Z63)=0,$G63,0)</f>
        <v>0</v>
      </c>
      <c r="AX63" s="20">
        <f t="shared" ca="1" si="2"/>
        <v>0</v>
      </c>
    </row>
    <row r="64" spans="1:50" x14ac:dyDescent="0.3">
      <c r="A64" s="22"/>
      <c r="B64" s="14" t="str">
        <f t="shared" ca="1" si="0"/>
        <v/>
      </c>
      <c r="C64" s="14"/>
      <c r="D64" s="14"/>
      <c r="E64" s="14" t="str">
        <f t="shared" ca="1" si="6"/>
        <v/>
      </c>
      <c r="F64" s="14"/>
      <c r="G64" s="14"/>
      <c r="H64" s="14"/>
      <c r="I64" s="15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32">
        <f>G64-SUMIF($H$3:$AA$3,H$3,Sprint!$H64:$AA64)</f>
        <v>0</v>
      </c>
      <c r="AC64" s="17" t="str">
        <f t="shared" ca="1" si="5"/>
        <v/>
      </c>
      <c r="AD64" s="10">
        <f>IF(SUMIF($H$3:H$3,H$3,Sprint!$H64:H64)&gt;0,I64,0)</f>
        <v>0</v>
      </c>
      <c r="AE64" s="42">
        <f>IF(SUMIF($H$3:H$3,H$3,Sprint!$H64:H64)=0,$G64,0)</f>
        <v>0</v>
      </c>
      <c r="AF64" s="10">
        <f>IF(SUMIF($H$3:J$3,J$3,Sprint!$H64:J64)&gt;0,K64,0)</f>
        <v>0</v>
      </c>
      <c r="AG64" s="42">
        <f>IF(SUMIF($H$3:J$3,J$3,Sprint!$H64:J64)=0,$G64,0)</f>
        <v>0</v>
      </c>
      <c r="AH64" s="10">
        <f>IF(SUMIF($H$3:L$3,L$3,Sprint!$H64:L64)&gt;0,M64,0)</f>
        <v>0</v>
      </c>
      <c r="AI64" s="42">
        <f>IF(SUMIF($H$3:L$3,L$3,Sprint!$H64:L64)=0,$G64,0)</f>
        <v>0</v>
      </c>
      <c r="AJ64" s="10">
        <f>IF(SUMIF($H$3:N$3,N$3,Sprint!$H64:N64)&gt;0,O64,0)</f>
        <v>0</v>
      </c>
      <c r="AK64" s="42">
        <f>IF(SUMIF($H$3:N$3,N$3,Sprint!$H64:N64)=0,$G64,0)</f>
        <v>0</v>
      </c>
      <c r="AL64" s="10">
        <f>IF(SUMIF($H$3:P$3,P$3,Sprint!$H64:P64)&gt;0,Q64,0)</f>
        <v>0</v>
      </c>
      <c r="AM64" s="42">
        <f>IF(SUMIF($H$3:P$3,P$3,Sprint!$H64:P64)=0,$G64,0)</f>
        <v>0</v>
      </c>
      <c r="AN64" s="10">
        <f>IF(SUMIF($H$3:R$3,R$3,Sprint!$H64:R64)&gt;0,S64,0)</f>
        <v>0</v>
      </c>
      <c r="AO64" s="42">
        <f>IF(SUMIF($H$3:R$3,R$3,Sprint!$H64:R64)=0,$G64,0)</f>
        <v>0</v>
      </c>
      <c r="AP64" s="10">
        <f>IF(SUMIF($H$3:T$3,T$3,Sprint!$H64:T64)&gt;0,U64,0)</f>
        <v>0</v>
      </c>
      <c r="AQ64" s="42">
        <f>IF(SUMIF($H$3:T$3,T$3,Sprint!$H64:T64)=0,$G64,0)</f>
        <v>0</v>
      </c>
      <c r="AR64" s="10">
        <f>IF(SUMIF($H$3:V$3,V$3,Sprint!$H64:V64)&gt;0,W64,0)</f>
        <v>0</v>
      </c>
      <c r="AS64" s="42">
        <f>IF(SUMIF($H$3:V$3,V$3,Sprint!$H64:V64)=0,$G64,0)</f>
        <v>0</v>
      </c>
      <c r="AT64" s="10">
        <f>IF(SUMIF($H$3:X$3,X$3,Sprint!$H64:X64)&gt;0,Y64,0)</f>
        <v>0</v>
      </c>
      <c r="AU64" s="42">
        <f>IF(SUMIF($H$3:X$3,X$3,Sprint!$H64:X64)=0,$G64,0)</f>
        <v>0</v>
      </c>
      <c r="AV64" s="10">
        <f>IF(SUMIF($H$3:Z$3,Z$3,Sprint!$H64:Z64)&gt;0,AA64,0)</f>
        <v>0</v>
      </c>
      <c r="AW64" s="11">
        <f>IF(SUMIF($H$3:Z$3,Z$3,Sprint!$H64:Z64)=0,$G64,0)</f>
        <v>0</v>
      </c>
      <c r="AX64" s="20">
        <f t="shared" ca="1" si="2"/>
        <v>0</v>
      </c>
    </row>
    <row r="65" spans="1:50" x14ac:dyDescent="0.3">
      <c r="A65" s="22"/>
      <c r="B65" s="14" t="str">
        <f t="shared" ca="1" si="0"/>
        <v/>
      </c>
      <c r="C65" s="14"/>
      <c r="D65" s="14"/>
      <c r="E65" s="14" t="str">
        <f t="shared" ca="1" si="6"/>
        <v/>
      </c>
      <c r="F65" s="14"/>
      <c r="G65" s="14"/>
      <c r="H65" s="14"/>
      <c r="I65" s="15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32">
        <f>G65-SUMIF($H$3:$AA$3,H$3,Sprint!$H65:$AA65)</f>
        <v>0</v>
      </c>
      <c r="AC65" s="17" t="str">
        <f t="shared" ca="1" si="5"/>
        <v/>
      </c>
      <c r="AD65" s="10">
        <f>IF(SUMIF($H$3:H$3,H$3,Sprint!$H65:H65)&gt;0,I65,0)</f>
        <v>0</v>
      </c>
      <c r="AE65" s="42">
        <f>IF(SUMIF($H$3:H$3,H$3,Sprint!$H65:H65)=0,$G65,0)</f>
        <v>0</v>
      </c>
      <c r="AF65" s="10">
        <f>IF(SUMIF($H$3:J$3,J$3,Sprint!$H65:J65)&gt;0,K65,0)</f>
        <v>0</v>
      </c>
      <c r="AG65" s="42">
        <f>IF(SUMIF($H$3:J$3,J$3,Sprint!$H65:J65)=0,$G65,0)</f>
        <v>0</v>
      </c>
      <c r="AH65" s="10">
        <f>IF(SUMIF($H$3:L$3,L$3,Sprint!$H65:L65)&gt;0,M65,0)</f>
        <v>0</v>
      </c>
      <c r="AI65" s="42">
        <f>IF(SUMIF($H$3:L$3,L$3,Sprint!$H65:L65)=0,$G65,0)</f>
        <v>0</v>
      </c>
      <c r="AJ65" s="10">
        <f>IF(SUMIF($H$3:N$3,N$3,Sprint!$H65:N65)&gt;0,O65,0)</f>
        <v>0</v>
      </c>
      <c r="AK65" s="42">
        <f>IF(SUMIF($H$3:N$3,N$3,Sprint!$H65:N65)=0,$G65,0)</f>
        <v>0</v>
      </c>
      <c r="AL65" s="10">
        <f>IF(SUMIF($H$3:P$3,P$3,Sprint!$H65:P65)&gt;0,Q65,0)</f>
        <v>0</v>
      </c>
      <c r="AM65" s="42">
        <f>IF(SUMIF($H$3:P$3,P$3,Sprint!$H65:P65)=0,$G65,0)</f>
        <v>0</v>
      </c>
      <c r="AN65" s="10">
        <f>IF(SUMIF($H$3:R$3,R$3,Sprint!$H65:R65)&gt;0,S65,0)</f>
        <v>0</v>
      </c>
      <c r="AO65" s="42">
        <f>IF(SUMIF($H$3:R$3,R$3,Sprint!$H65:R65)=0,$G65,0)</f>
        <v>0</v>
      </c>
      <c r="AP65" s="10">
        <f>IF(SUMIF($H$3:T$3,T$3,Sprint!$H65:T65)&gt;0,U65,0)</f>
        <v>0</v>
      </c>
      <c r="AQ65" s="42">
        <f>IF(SUMIF($H$3:T$3,T$3,Sprint!$H65:T65)=0,$G65,0)</f>
        <v>0</v>
      </c>
      <c r="AR65" s="10">
        <f>IF(SUMIF($H$3:V$3,V$3,Sprint!$H65:V65)&gt;0,W65,0)</f>
        <v>0</v>
      </c>
      <c r="AS65" s="42">
        <f>IF(SUMIF($H$3:V$3,V$3,Sprint!$H65:V65)=0,$G65,0)</f>
        <v>0</v>
      </c>
      <c r="AT65" s="10">
        <f>IF(SUMIF($H$3:X$3,X$3,Sprint!$H65:X65)&gt;0,Y65,0)</f>
        <v>0</v>
      </c>
      <c r="AU65" s="42">
        <f>IF(SUMIF($H$3:X$3,X$3,Sprint!$H65:X65)=0,$G65,0)</f>
        <v>0</v>
      </c>
      <c r="AV65" s="10">
        <f>IF(SUMIF($H$3:Z$3,Z$3,Sprint!$H65:Z65)&gt;0,AA65,0)</f>
        <v>0</v>
      </c>
      <c r="AW65" s="11">
        <f>IF(SUMIF($H$3:Z$3,Z$3,Sprint!$H65:Z65)=0,$G65,0)</f>
        <v>0</v>
      </c>
      <c r="AX65" s="20">
        <f t="shared" ca="1" si="2"/>
        <v>0</v>
      </c>
    </row>
    <row r="66" spans="1:50" x14ac:dyDescent="0.3">
      <c r="A66" s="22"/>
      <c r="B66" s="14" t="str">
        <f t="shared" ca="1" si="0"/>
        <v/>
      </c>
      <c r="C66" s="14"/>
      <c r="D66" s="14"/>
      <c r="E66" s="14" t="str">
        <f t="shared" ca="1" si="6"/>
        <v/>
      </c>
      <c r="F66" s="14"/>
      <c r="G66" s="14"/>
      <c r="H66" s="14"/>
      <c r="I66" s="15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32">
        <f>G66-SUMIF($H$3:$AA$3,H$3,Sprint!$H66:$AA66)</f>
        <v>0</v>
      </c>
      <c r="AC66" s="17" t="str">
        <f t="shared" ca="1" si="5"/>
        <v/>
      </c>
      <c r="AD66" s="10">
        <f>IF(SUMIF($H$3:H$3,H$3,Sprint!$H66:H66)&gt;0,I66,0)</f>
        <v>0</v>
      </c>
      <c r="AE66" s="42">
        <f>IF(SUMIF($H$3:H$3,H$3,Sprint!$H66:H66)=0,$G66,0)</f>
        <v>0</v>
      </c>
      <c r="AF66" s="10">
        <f>IF(SUMIF($H$3:J$3,J$3,Sprint!$H66:J66)&gt;0,K66,0)</f>
        <v>0</v>
      </c>
      <c r="AG66" s="42">
        <f>IF(SUMIF($H$3:J$3,J$3,Sprint!$H66:J66)=0,$G66,0)</f>
        <v>0</v>
      </c>
      <c r="AH66" s="10">
        <f>IF(SUMIF($H$3:L$3,L$3,Sprint!$H66:L66)&gt;0,M66,0)</f>
        <v>0</v>
      </c>
      <c r="AI66" s="42">
        <f>IF(SUMIF($H$3:L$3,L$3,Sprint!$H66:L66)=0,$G66,0)</f>
        <v>0</v>
      </c>
      <c r="AJ66" s="10">
        <f>IF(SUMIF($H$3:N$3,N$3,Sprint!$H66:N66)&gt;0,O66,0)</f>
        <v>0</v>
      </c>
      <c r="AK66" s="42">
        <f>IF(SUMIF($H$3:N$3,N$3,Sprint!$H66:N66)=0,$G66,0)</f>
        <v>0</v>
      </c>
      <c r="AL66" s="10">
        <f>IF(SUMIF($H$3:P$3,P$3,Sprint!$H66:P66)&gt;0,Q66,0)</f>
        <v>0</v>
      </c>
      <c r="AM66" s="42">
        <f>IF(SUMIF($H$3:P$3,P$3,Sprint!$H66:P66)=0,$G66,0)</f>
        <v>0</v>
      </c>
      <c r="AN66" s="10">
        <f>IF(SUMIF($H$3:R$3,R$3,Sprint!$H66:R66)&gt;0,S66,0)</f>
        <v>0</v>
      </c>
      <c r="AO66" s="42">
        <f>IF(SUMIF($H$3:R$3,R$3,Sprint!$H66:R66)=0,$G66,0)</f>
        <v>0</v>
      </c>
      <c r="AP66" s="10">
        <f>IF(SUMIF($H$3:T$3,T$3,Sprint!$H66:T66)&gt;0,U66,0)</f>
        <v>0</v>
      </c>
      <c r="AQ66" s="42">
        <f>IF(SUMIF($H$3:T$3,T$3,Sprint!$H66:T66)=0,$G66,0)</f>
        <v>0</v>
      </c>
      <c r="AR66" s="10">
        <f>IF(SUMIF($H$3:V$3,V$3,Sprint!$H66:V66)&gt;0,W66,0)</f>
        <v>0</v>
      </c>
      <c r="AS66" s="42">
        <f>IF(SUMIF($H$3:V$3,V$3,Sprint!$H66:V66)=0,$G66,0)</f>
        <v>0</v>
      </c>
      <c r="AT66" s="10">
        <f>IF(SUMIF($H$3:X$3,X$3,Sprint!$H66:X66)&gt;0,Y66,0)</f>
        <v>0</v>
      </c>
      <c r="AU66" s="42">
        <f>IF(SUMIF($H$3:X$3,X$3,Sprint!$H66:X66)=0,$G66,0)</f>
        <v>0</v>
      </c>
      <c r="AV66" s="10">
        <f>IF(SUMIF($H$3:Z$3,Z$3,Sprint!$H66:Z66)&gt;0,AA66,0)</f>
        <v>0</v>
      </c>
      <c r="AW66" s="11">
        <f>IF(SUMIF($H$3:Z$3,Z$3,Sprint!$H66:Z66)=0,$G66,0)</f>
        <v>0</v>
      </c>
      <c r="AX66" s="20">
        <f t="shared" ca="1" si="2"/>
        <v>0</v>
      </c>
    </row>
    <row r="67" spans="1:50" x14ac:dyDescent="0.3">
      <c r="A67" s="22"/>
      <c r="B67" s="14" t="str">
        <f t="shared" ca="1" si="0"/>
        <v/>
      </c>
      <c r="C67" s="14"/>
      <c r="D67" s="14"/>
      <c r="E67" s="14" t="str">
        <f t="shared" ref="E67:E68" ca="1" si="7">_xlfn.IFNA(INDEX(TaskNames,MATCH(D67,TaskList,0)),"")</f>
        <v/>
      </c>
      <c r="F67" s="14"/>
      <c r="G67" s="14"/>
      <c r="H67" s="14"/>
      <c r="I67" s="15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32">
        <f>G67-SUMIF($H$3:$AA$3,H$3,Sprint!$H67:$AA67)</f>
        <v>0</v>
      </c>
      <c r="AC67" s="17" t="str">
        <f t="shared" ca="1" si="5"/>
        <v/>
      </c>
      <c r="AD67" s="10">
        <f>IF(SUMIF($H$3:H$3,H$3,Sprint!$H67:H67)&gt;0,I67,0)</f>
        <v>0</v>
      </c>
      <c r="AE67" s="42">
        <f>IF(SUMIF($H$3:H$3,H$3,Sprint!$H67:H67)=0,$G67,0)</f>
        <v>0</v>
      </c>
      <c r="AF67" s="10">
        <f>IF(SUMIF($H$3:J$3,J$3,Sprint!$H67:J67)&gt;0,K67,0)</f>
        <v>0</v>
      </c>
      <c r="AG67" s="42">
        <f>IF(SUMIF($H$3:J$3,J$3,Sprint!$H67:J67)=0,$G67,0)</f>
        <v>0</v>
      </c>
      <c r="AH67" s="10">
        <f>IF(SUMIF($H$3:L$3,L$3,Sprint!$H67:L67)&gt;0,M67,0)</f>
        <v>0</v>
      </c>
      <c r="AI67" s="42">
        <f>IF(SUMIF($H$3:L$3,L$3,Sprint!$H67:L67)=0,$G67,0)</f>
        <v>0</v>
      </c>
      <c r="AJ67" s="10">
        <f>IF(SUMIF($H$3:N$3,N$3,Sprint!$H67:N67)&gt;0,O67,0)</f>
        <v>0</v>
      </c>
      <c r="AK67" s="42">
        <f>IF(SUMIF($H$3:N$3,N$3,Sprint!$H67:N67)=0,$G67,0)</f>
        <v>0</v>
      </c>
      <c r="AL67" s="10">
        <f>IF(SUMIF($H$3:P$3,P$3,Sprint!$H67:P67)&gt;0,Q67,0)</f>
        <v>0</v>
      </c>
      <c r="AM67" s="42">
        <f>IF(SUMIF($H$3:P$3,P$3,Sprint!$H67:P67)=0,$G67,0)</f>
        <v>0</v>
      </c>
      <c r="AN67" s="10">
        <f>IF(SUMIF($H$3:R$3,R$3,Sprint!$H67:R67)&gt;0,S67,0)</f>
        <v>0</v>
      </c>
      <c r="AO67" s="42">
        <f>IF(SUMIF($H$3:R$3,R$3,Sprint!$H67:R67)=0,$G67,0)</f>
        <v>0</v>
      </c>
      <c r="AP67" s="10">
        <f>IF(SUMIF($H$3:T$3,T$3,Sprint!$H67:T67)&gt;0,U67,0)</f>
        <v>0</v>
      </c>
      <c r="AQ67" s="42">
        <f>IF(SUMIF($H$3:T$3,T$3,Sprint!$H67:T67)=0,$G67,0)</f>
        <v>0</v>
      </c>
      <c r="AR67" s="10">
        <f>IF(SUMIF($H$3:V$3,V$3,Sprint!$H67:V67)&gt;0,W67,0)</f>
        <v>0</v>
      </c>
      <c r="AS67" s="42">
        <f>IF(SUMIF($H$3:V$3,V$3,Sprint!$H67:V67)=0,$G67,0)</f>
        <v>0</v>
      </c>
      <c r="AT67" s="10">
        <f>IF(SUMIF($H$3:X$3,X$3,Sprint!$H67:X67)&gt;0,Y67,0)</f>
        <v>0</v>
      </c>
      <c r="AU67" s="42">
        <f>IF(SUMIF($H$3:X$3,X$3,Sprint!$H67:X67)=0,$G67,0)</f>
        <v>0</v>
      </c>
      <c r="AV67" s="10">
        <f>IF(SUMIF($H$3:Z$3,Z$3,Sprint!$H67:Z67)&gt;0,AA67,0)</f>
        <v>0</v>
      </c>
      <c r="AW67" s="11">
        <f>IF(SUMIF($H$3:Z$3,Z$3,Sprint!$H67:Z67)=0,$G67,0)</f>
        <v>0</v>
      </c>
      <c r="AX67" s="20">
        <f t="shared" ca="1" si="2"/>
        <v>0</v>
      </c>
    </row>
    <row r="68" spans="1:50" ht="15" thickBot="1" x14ac:dyDescent="0.35">
      <c r="A68" s="22"/>
      <c r="B68" s="14" t="str">
        <f t="shared" ca="1" si="0"/>
        <v/>
      </c>
      <c r="C68" s="14"/>
      <c r="D68" s="14"/>
      <c r="E68" s="14" t="str">
        <f t="shared" ca="1" si="7"/>
        <v/>
      </c>
      <c r="F68" s="14"/>
      <c r="G68" s="14"/>
      <c r="H68" s="14"/>
      <c r="I68" s="15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32">
        <f>G68-SUMIF($H$3:$AA$3,H$3,Sprint!$H68:$AA68)</f>
        <v>0</v>
      </c>
      <c r="AC68" s="17" t="str">
        <f t="shared" ref="AC68" ca="1" si="8">_xlfn.IFNA(IF(INDIRECT(ADDRESS(3,LOOKUP(2,1/(H68:AA68&lt;&gt;""),COLUMN(H68:AA68))))="Left",AB68-INDIRECT(ADDRESS(ROW(H68),LOOKUP(2,1/(H68:AA68&lt;&gt;""),COLUMN(H68:AA68)))),AB68),"")</f>
        <v/>
      </c>
      <c r="AD68" s="43">
        <f>IF(SUMIF($H$3:H$3,H$3,Sprint!$H68:H68)&gt;0,I68,0)</f>
        <v>0</v>
      </c>
      <c r="AE68" s="44">
        <f>IF(SUMIF($H$3:H$3,H$3,Sprint!$H68:H68)=0,$G68,0)</f>
        <v>0</v>
      </c>
      <c r="AF68" s="43">
        <f>IF(SUMIF($H$3:J$3,J$3,Sprint!$H68:J68)&gt;0,K68,0)</f>
        <v>0</v>
      </c>
      <c r="AG68" s="44">
        <f>IF(SUMIF($H$3:J$3,J$3,Sprint!$H68:J68)=0,$G68,0)</f>
        <v>0</v>
      </c>
      <c r="AH68" s="43">
        <f>IF(SUMIF($H$3:L$3,L$3,Sprint!$H68:L68)&gt;0,M68,0)</f>
        <v>0</v>
      </c>
      <c r="AI68" s="44">
        <f>IF(SUMIF($H$3:L$3,L$3,Sprint!$H68:L68)=0,$G68,0)</f>
        <v>0</v>
      </c>
      <c r="AJ68" s="43">
        <f>IF(SUMIF($H$3:N$3,N$3,Sprint!$H68:N68)&gt;0,O68,0)</f>
        <v>0</v>
      </c>
      <c r="AK68" s="44">
        <f>IF(SUMIF($H$3:N$3,N$3,Sprint!$H68:N68)=0,$G68,0)</f>
        <v>0</v>
      </c>
      <c r="AL68" s="43">
        <f>IF(SUMIF($H$3:P$3,P$3,Sprint!$H68:P68)&gt;0,Q68,0)</f>
        <v>0</v>
      </c>
      <c r="AM68" s="44">
        <f>IF(SUMIF($H$3:P$3,P$3,Sprint!$H68:P68)=0,$G68,0)</f>
        <v>0</v>
      </c>
      <c r="AN68" s="43">
        <f>IF(SUMIF($H$3:R$3,R$3,Sprint!$H68:R68)&gt;0,S68,0)</f>
        <v>0</v>
      </c>
      <c r="AO68" s="44">
        <f>IF(SUMIF($H$3:R$3,R$3,Sprint!$H68:R68)=0,$G68,0)</f>
        <v>0</v>
      </c>
      <c r="AP68" s="43">
        <f>IF(SUMIF($H$3:T$3,T$3,Sprint!$H68:T68)&gt;0,U68,0)</f>
        <v>0</v>
      </c>
      <c r="AQ68" s="44">
        <f>IF(SUMIF($H$3:T$3,T$3,Sprint!$H68:T68)=0,$G68,0)</f>
        <v>0</v>
      </c>
      <c r="AR68" s="43">
        <f>IF(SUMIF($H$3:V$3,V$3,Sprint!$H68:V68)&gt;0,W68,0)</f>
        <v>0</v>
      </c>
      <c r="AS68" s="44">
        <f>IF(SUMIF($H$3:V$3,V$3,Sprint!$H68:V68)=0,$G68,0)</f>
        <v>0</v>
      </c>
      <c r="AT68" s="43">
        <f>IF(SUMIF($H$3:X$3,X$3,Sprint!$H68:X68)&gt;0,Y68,0)</f>
        <v>0</v>
      </c>
      <c r="AU68" s="44">
        <f>IF(SUMIF($H$3:X$3,X$3,Sprint!$H68:X68)=0,$G68,0)</f>
        <v>0</v>
      </c>
      <c r="AV68" s="43">
        <f>IF(SUMIF($H$3:Z$3,Z$3,Sprint!$H68:Z68)&gt;0,AA68,0)</f>
        <v>0</v>
      </c>
      <c r="AW68" s="45">
        <f>IF(SUMIF($H$3:Z$3,Z$3,Sprint!$H68:Z68)=0,$G68,0)</f>
        <v>0</v>
      </c>
      <c r="AX68" s="20">
        <f t="shared" ca="1" si="2"/>
        <v>0</v>
      </c>
    </row>
    <row r="69" spans="1:50" ht="15" thickTop="1" x14ac:dyDescent="0.3">
      <c r="A69" s="23" t="str">
        <f>A2</f>
        <v>All</v>
      </c>
      <c r="B69" s="24"/>
      <c r="C69" s="24"/>
      <c r="D69" s="24"/>
      <c r="E69" s="24" t="s">
        <v>15</v>
      </c>
      <c r="F69" s="24"/>
      <c r="G69" s="24">
        <f t="shared" ref="G69:AC69" si="9">SUMIF($A$5:$A$68,$A$2,G$5:G$68)</f>
        <v>0</v>
      </c>
      <c r="H69" s="24">
        <f t="shared" si="9"/>
        <v>0</v>
      </c>
      <c r="I69" s="24">
        <f t="shared" si="9"/>
        <v>0</v>
      </c>
      <c r="J69" s="24">
        <f t="shared" si="9"/>
        <v>0</v>
      </c>
      <c r="K69" s="24">
        <f t="shared" si="9"/>
        <v>0</v>
      </c>
      <c r="L69" s="24">
        <f t="shared" si="9"/>
        <v>0</v>
      </c>
      <c r="M69" s="24">
        <f t="shared" si="9"/>
        <v>0</v>
      </c>
      <c r="N69" s="24">
        <f t="shared" si="9"/>
        <v>0</v>
      </c>
      <c r="O69" s="24">
        <f t="shared" si="9"/>
        <v>0</v>
      </c>
      <c r="P69" s="24">
        <f t="shared" si="9"/>
        <v>0</v>
      </c>
      <c r="Q69" s="24">
        <f t="shared" si="9"/>
        <v>0</v>
      </c>
      <c r="R69" s="24">
        <f t="shared" si="9"/>
        <v>0</v>
      </c>
      <c r="S69" s="24">
        <f t="shared" si="9"/>
        <v>0</v>
      </c>
      <c r="T69" s="24">
        <f t="shared" si="9"/>
        <v>0</v>
      </c>
      <c r="U69" s="24">
        <f t="shared" si="9"/>
        <v>0</v>
      </c>
      <c r="V69" s="24">
        <f t="shared" si="9"/>
        <v>0</v>
      </c>
      <c r="W69" s="24">
        <f t="shared" si="9"/>
        <v>0</v>
      </c>
      <c r="X69" s="24">
        <f t="shared" si="9"/>
        <v>0</v>
      </c>
      <c r="Y69" s="24">
        <f t="shared" si="9"/>
        <v>0</v>
      </c>
      <c r="Z69" s="24">
        <f t="shared" si="9"/>
        <v>0</v>
      </c>
      <c r="AA69" s="24">
        <f t="shared" si="9"/>
        <v>0</v>
      </c>
      <c r="AB69" s="24">
        <f t="shared" si="9"/>
        <v>0</v>
      </c>
      <c r="AC69" s="24">
        <f t="shared" si="9"/>
        <v>0</v>
      </c>
      <c r="AD69" s="24">
        <f t="shared" ref="AD69:AW69" si="10">SUMIF($A$5:$A$68,$B$1,AD$5:AD$68)</f>
        <v>0</v>
      </c>
      <c r="AE69" s="24">
        <f t="shared" si="10"/>
        <v>0</v>
      </c>
      <c r="AF69" s="24">
        <f t="shared" si="10"/>
        <v>0</v>
      </c>
      <c r="AG69" s="24">
        <f t="shared" si="10"/>
        <v>0</v>
      </c>
      <c r="AH69" s="24">
        <f t="shared" si="10"/>
        <v>0</v>
      </c>
      <c r="AI69" s="24">
        <f t="shared" si="10"/>
        <v>0</v>
      </c>
      <c r="AJ69" s="24">
        <f t="shared" si="10"/>
        <v>0</v>
      </c>
      <c r="AK69" s="24">
        <f t="shared" si="10"/>
        <v>0</v>
      </c>
      <c r="AL69" s="24">
        <f t="shared" si="10"/>
        <v>0</v>
      </c>
      <c r="AM69" s="24">
        <f t="shared" si="10"/>
        <v>0</v>
      </c>
      <c r="AN69" s="24">
        <f t="shared" si="10"/>
        <v>0</v>
      </c>
      <c r="AO69" s="24">
        <f t="shared" si="10"/>
        <v>0</v>
      </c>
      <c r="AP69" s="24">
        <f t="shared" si="10"/>
        <v>0</v>
      </c>
      <c r="AQ69" s="24">
        <f t="shared" si="10"/>
        <v>0</v>
      </c>
      <c r="AR69" s="24">
        <f t="shared" si="10"/>
        <v>0</v>
      </c>
      <c r="AS69" s="24">
        <f t="shared" si="10"/>
        <v>0</v>
      </c>
      <c r="AT69" s="24">
        <f t="shared" si="10"/>
        <v>0</v>
      </c>
      <c r="AU69" s="24">
        <f t="shared" si="10"/>
        <v>0</v>
      </c>
      <c r="AV69" s="24">
        <f t="shared" si="10"/>
        <v>0</v>
      </c>
      <c r="AW69" s="24">
        <f t="shared" si="10"/>
        <v>0</v>
      </c>
      <c r="AX69" s="24">
        <f>SUMIF($A$5:$A$68,$A$2,AX$5:AX$68)</f>
        <v>0</v>
      </c>
    </row>
    <row r="72" spans="1:50" x14ac:dyDescent="0.3">
      <c r="C72" s="29"/>
      <c r="D72" s="29"/>
    </row>
  </sheetData>
  <mergeCells count="22">
    <mergeCell ref="AV2:AW2"/>
    <mergeCell ref="F2:G2"/>
    <mergeCell ref="AL2:AM2"/>
    <mergeCell ref="AN2:AO2"/>
    <mergeCell ref="AP2:AQ2"/>
    <mergeCell ref="AR2:AS2"/>
    <mergeCell ref="AT2:AU2"/>
    <mergeCell ref="AB2:AC2"/>
    <mergeCell ref="AD2:AE2"/>
    <mergeCell ref="AF2:AG2"/>
    <mergeCell ref="AH2:AI2"/>
    <mergeCell ref="AJ2:AK2"/>
    <mergeCell ref="R2:S2"/>
    <mergeCell ref="T2:U2"/>
    <mergeCell ref="V2:W2"/>
    <mergeCell ref="X2:Y2"/>
    <mergeCell ref="Z2:AA2"/>
    <mergeCell ref="H2:I2"/>
    <mergeCell ref="J2:K2"/>
    <mergeCell ref="L2:M2"/>
    <mergeCell ref="N2:O2"/>
    <mergeCell ref="P2:Q2"/>
  </mergeCells>
  <conditionalFormatting sqref="A53:C53 E53:AA53 A55:AA68 A54:D54 F54:AA54 A13:AA52 A8:AW12 AB13:AW68 AX8:AX68 A5:AX7">
    <cfRule type="expression" dxfId="70" priority="5">
      <formula>$AC5&lt;0</formula>
    </cfRule>
  </conditionalFormatting>
  <conditionalFormatting sqref="D53">
    <cfRule type="expression" dxfId="69" priority="12">
      <formula>$AC54&lt;0</formula>
    </cfRule>
  </conditionalFormatting>
  <dataValidations count="9">
    <dataValidation type="list" allowBlank="1" showInputMessage="1" showErrorMessage="1" sqref="D53">
      <formula1>TaskList</formula1>
    </dataValidation>
    <dataValidation type="list" allowBlank="1" showInputMessage="1" showErrorMessage="1" sqref="D19 D24">
      <formula1>"1,3,5,7"</formula1>
    </dataValidation>
    <dataValidation type="list" allowBlank="1" showInputMessage="1" showErrorMessage="1" sqref="D16:D18 D7:D8 D10:D13">
      <formula1>"9,11,13,15"</formula1>
    </dataValidation>
    <dataValidation type="list" allowBlank="1" showInputMessage="1" showErrorMessage="1" sqref="D5:E5 D6 D14:D15 D9">
      <formula1>"17,2,4,6"</formula1>
    </dataValidation>
    <dataValidation type="list" allowBlank="1" showInputMessage="1" showErrorMessage="1" sqref="C5:C68">
      <formula1>Story</formula1>
    </dataValidation>
    <dataValidation type="list" allowBlank="1" showInputMessage="1" showErrorMessage="1" sqref="F5:F68">
      <formula1>Resource</formula1>
    </dataValidation>
    <dataValidation type="list" allowBlank="1" showInputMessage="1" showErrorMessage="1" sqref="D20:D21">
      <formula1>"4,6"</formula1>
    </dataValidation>
    <dataValidation type="list" allowBlank="1" showInputMessage="1" showErrorMessage="1" sqref="D22">
      <formula1>"12"</formula1>
    </dataValidation>
    <dataValidation type="list" allowBlank="1" showInputMessage="1" showErrorMessage="1" sqref="D23">
      <formula1>"20"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indTask_Click">
                <anchor moveWithCells="1" sizeWithCells="1">
                  <from>
                    <xdr:col>4</xdr:col>
                    <xdr:colOff>1722120</xdr:colOff>
                    <xdr:row>0</xdr:row>
                    <xdr:rowOff>0</xdr:rowOff>
                  </from>
                  <to>
                    <xdr:col>4</xdr:col>
                    <xdr:colOff>2491740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Sprints!$A$2:$A$62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35"/>
  <sheetViews>
    <sheetView workbookViewId="0">
      <selection activeCell="D17" sqref="D17"/>
    </sheetView>
  </sheetViews>
  <sheetFormatPr defaultRowHeight="14.4" x14ac:dyDescent="0.3"/>
  <cols>
    <col min="1" max="1" width="10.21875" customWidth="1"/>
    <col min="2" max="2" width="10.5546875" customWidth="1"/>
    <col min="3" max="3" width="29.6640625" bestFit="1" customWidth="1"/>
    <col min="4" max="4" width="22.88671875" customWidth="1"/>
    <col min="5" max="5" width="46.109375" customWidth="1"/>
  </cols>
  <sheetData>
    <row r="1" spans="1:6" x14ac:dyDescent="0.3">
      <c r="A1" s="86" t="s">
        <v>133</v>
      </c>
      <c r="B1" s="86" t="s">
        <v>86</v>
      </c>
      <c r="C1" s="86" t="s">
        <v>0</v>
      </c>
      <c r="D1" s="86" t="s">
        <v>87</v>
      </c>
      <c r="E1" s="86" t="s">
        <v>88</v>
      </c>
      <c r="F1" s="86" t="s">
        <v>89</v>
      </c>
    </row>
    <row r="2" spans="1:6" x14ac:dyDescent="0.3">
      <c r="A2" s="87">
        <v>1</v>
      </c>
      <c r="B2" s="87">
        <f t="shared" ref="B2:B16" ca="1" si="0">_xlfn.IFNA(INDEX(StoryID,MATCH(C2,Story,0)),"")</f>
        <v>1</v>
      </c>
      <c r="C2" s="87" t="s">
        <v>106</v>
      </c>
      <c r="D2" s="87" t="s">
        <v>94</v>
      </c>
      <c r="E2" s="87"/>
      <c r="F2" s="87" t="s">
        <v>90</v>
      </c>
    </row>
    <row r="3" spans="1:6" x14ac:dyDescent="0.3">
      <c r="A3" s="88">
        <v>3</v>
      </c>
      <c r="B3" s="88">
        <f t="shared" ca="1" si="0"/>
        <v>1</v>
      </c>
      <c r="C3" s="88" t="s">
        <v>106</v>
      </c>
      <c r="D3" s="88" t="s">
        <v>95</v>
      </c>
      <c r="E3" s="88"/>
      <c r="F3" s="88" t="s">
        <v>90</v>
      </c>
    </row>
    <row r="4" spans="1:6" x14ac:dyDescent="0.3">
      <c r="A4" s="88">
        <v>5</v>
      </c>
      <c r="B4" s="88">
        <f t="shared" ca="1" si="0"/>
        <v>1</v>
      </c>
      <c r="C4" s="88" t="s">
        <v>106</v>
      </c>
      <c r="D4" s="88" t="s">
        <v>96</v>
      </c>
      <c r="E4" s="88"/>
      <c r="F4" s="88" t="s">
        <v>90</v>
      </c>
    </row>
    <row r="5" spans="1:6" x14ac:dyDescent="0.3">
      <c r="A5" s="88">
        <v>7</v>
      </c>
      <c r="B5" s="88">
        <f t="shared" ca="1" si="0"/>
        <v>1</v>
      </c>
      <c r="C5" s="88" t="s">
        <v>106</v>
      </c>
      <c r="D5" s="88" t="s">
        <v>97</v>
      </c>
      <c r="E5" s="88"/>
      <c r="F5" s="88" t="s">
        <v>90</v>
      </c>
    </row>
    <row r="6" spans="1:6" x14ac:dyDescent="0.3">
      <c r="A6" s="88">
        <v>9</v>
      </c>
      <c r="B6" s="88">
        <f t="shared" ca="1" si="0"/>
        <v>2</v>
      </c>
      <c r="C6" s="88" t="s">
        <v>107</v>
      </c>
      <c r="D6" s="88" t="s">
        <v>98</v>
      </c>
      <c r="E6" s="88"/>
      <c r="F6" s="88" t="s">
        <v>90</v>
      </c>
    </row>
    <row r="7" spans="1:6" x14ac:dyDescent="0.3">
      <c r="A7" s="88">
        <v>11</v>
      </c>
      <c r="B7" s="88">
        <f t="shared" ca="1" si="0"/>
        <v>2</v>
      </c>
      <c r="C7" s="88" t="s">
        <v>107</v>
      </c>
      <c r="D7" s="88" t="s">
        <v>99</v>
      </c>
      <c r="E7" s="88"/>
      <c r="F7" s="88" t="s">
        <v>90</v>
      </c>
    </row>
    <row r="8" spans="1:6" x14ac:dyDescent="0.3">
      <c r="A8" s="88">
        <v>13</v>
      </c>
      <c r="B8" s="88">
        <f t="shared" ca="1" si="0"/>
        <v>2</v>
      </c>
      <c r="C8" s="88" t="s">
        <v>107</v>
      </c>
      <c r="D8" s="88" t="s">
        <v>100</v>
      </c>
      <c r="E8" s="88"/>
      <c r="F8" s="88" t="s">
        <v>90</v>
      </c>
    </row>
    <row r="9" spans="1:6" x14ac:dyDescent="0.3">
      <c r="A9" s="88">
        <v>15</v>
      </c>
      <c r="B9" s="88">
        <f t="shared" ca="1" si="0"/>
        <v>2</v>
      </c>
      <c r="C9" s="88" t="s">
        <v>107</v>
      </c>
      <c r="D9" s="88" t="s">
        <v>101</v>
      </c>
      <c r="E9" s="88"/>
      <c r="F9" s="88" t="s">
        <v>90</v>
      </c>
    </row>
    <row r="10" spans="1:6" x14ac:dyDescent="0.3">
      <c r="A10" s="88">
        <v>17</v>
      </c>
      <c r="B10" s="88">
        <f t="shared" ca="1" si="0"/>
        <v>3</v>
      </c>
      <c r="C10" s="88" t="s">
        <v>108</v>
      </c>
      <c r="D10" s="88" t="s">
        <v>102</v>
      </c>
      <c r="E10" s="88"/>
      <c r="F10" s="88" t="s">
        <v>90</v>
      </c>
    </row>
    <row r="11" spans="1:6" x14ac:dyDescent="0.3">
      <c r="A11" s="88">
        <v>2</v>
      </c>
      <c r="B11" s="88">
        <f t="shared" ca="1" si="0"/>
        <v>3</v>
      </c>
      <c r="C11" s="88" t="s">
        <v>108</v>
      </c>
      <c r="D11" s="88" t="s">
        <v>103</v>
      </c>
      <c r="E11" s="88"/>
      <c r="F11" s="88" t="s">
        <v>90</v>
      </c>
    </row>
    <row r="12" spans="1:6" x14ac:dyDescent="0.3">
      <c r="A12" s="88">
        <v>4</v>
      </c>
      <c r="B12" s="88">
        <f t="shared" ca="1" si="0"/>
        <v>4</v>
      </c>
      <c r="C12" s="88" t="s">
        <v>109</v>
      </c>
      <c r="D12" s="88" t="s">
        <v>104</v>
      </c>
      <c r="E12" s="88"/>
      <c r="F12" s="88" t="s">
        <v>90</v>
      </c>
    </row>
    <row r="13" spans="1:6" x14ac:dyDescent="0.3">
      <c r="A13" s="88">
        <v>6</v>
      </c>
      <c r="B13" s="88">
        <f t="shared" ca="1" si="0"/>
        <v>4</v>
      </c>
      <c r="C13" s="88" t="s">
        <v>109</v>
      </c>
      <c r="D13" s="88" t="s">
        <v>105</v>
      </c>
      <c r="E13" s="88"/>
      <c r="F13" s="88" t="s">
        <v>90</v>
      </c>
    </row>
    <row r="14" spans="1:6" x14ac:dyDescent="0.3">
      <c r="A14" s="88">
        <v>12</v>
      </c>
      <c r="B14" s="88">
        <f t="shared" ca="1" si="0"/>
        <v>5</v>
      </c>
      <c r="C14" s="88" t="s">
        <v>110</v>
      </c>
      <c r="D14" s="88" t="s">
        <v>134</v>
      </c>
      <c r="E14" s="88"/>
      <c r="F14" s="88" t="s">
        <v>90</v>
      </c>
    </row>
    <row r="15" spans="1:6" x14ac:dyDescent="0.3">
      <c r="A15" s="88">
        <v>19</v>
      </c>
      <c r="B15" s="88">
        <f t="shared" ca="1" si="0"/>
        <v>1</v>
      </c>
      <c r="C15" s="88" t="s">
        <v>106</v>
      </c>
      <c r="D15" s="88" t="s">
        <v>136</v>
      </c>
      <c r="E15" s="88"/>
      <c r="F15" s="88"/>
    </row>
    <row r="16" spans="1:6" x14ac:dyDescent="0.3">
      <c r="A16" s="88">
        <v>20</v>
      </c>
      <c r="B16" s="88">
        <f t="shared" ca="1" si="0"/>
        <v>6</v>
      </c>
      <c r="C16" s="88" t="s">
        <v>111</v>
      </c>
      <c r="D16" s="88" t="s">
        <v>135</v>
      </c>
      <c r="E16" s="88"/>
      <c r="F16" s="88"/>
    </row>
    <row r="17" spans="1:6" x14ac:dyDescent="0.3">
      <c r="A17" s="88"/>
      <c r="B17" s="88" t="str">
        <f t="shared" ref="B17:B35" ca="1" si="1">_xlfn.IFNA(INDEX(StoryID,MATCH(C17,Story,0)),"")</f>
        <v/>
      </c>
      <c r="C17" s="88"/>
      <c r="D17" s="88"/>
      <c r="E17" s="88"/>
      <c r="F17" s="88"/>
    </row>
    <row r="18" spans="1:6" x14ac:dyDescent="0.3">
      <c r="A18" s="88"/>
      <c r="B18" s="88" t="str">
        <f t="shared" ca="1" si="1"/>
        <v/>
      </c>
      <c r="C18" s="88"/>
      <c r="D18" s="88"/>
      <c r="E18" s="88"/>
      <c r="F18" s="88"/>
    </row>
    <row r="19" spans="1:6" x14ac:dyDescent="0.3">
      <c r="A19" s="88"/>
      <c r="B19" s="88" t="str">
        <f t="shared" ca="1" si="1"/>
        <v/>
      </c>
      <c r="C19" s="88"/>
      <c r="D19" s="88"/>
      <c r="E19" s="88"/>
      <c r="F19" s="88"/>
    </row>
    <row r="20" spans="1:6" x14ac:dyDescent="0.3">
      <c r="A20" s="88"/>
      <c r="B20" s="88" t="str">
        <f t="shared" ca="1" si="1"/>
        <v/>
      </c>
      <c r="C20" s="88"/>
      <c r="D20" s="88"/>
      <c r="E20" s="88"/>
      <c r="F20" s="88"/>
    </row>
    <row r="21" spans="1:6" x14ac:dyDescent="0.3">
      <c r="A21" s="88"/>
      <c r="B21" s="88" t="str">
        <f t="shared" ca="1" si="1"/>
        <v/>
      </c>
      <c r="C21" s="88"/>
      <c r="D21" s="88"/>
      <c r="E21" s="88"/>
      <c r="F21" s="88"/>
    </row>
    <row r="22" spans="1:6" x14ac:dyDescent="0.3">
      <c r="A22" s="88"/>
      <c r="B22" s="88" t="str">
        <f t="shared" ca="1" si="1"/>
        <v/>
      </c>
      <c r="C22" s="88"/>
      <c r="D22" s="88"/>
      <c r="E22" s="88"/>
      <c r="F22" s="88"/>
    </row>
    <row r="23" spans="1:6" x14ac:dyDescent="0.3">
      <c r="A23" s="88"/>
      <c r="B23" s="88" t="str">
        <f t="shared" ca="1" si="1"/>
        <v/>
      </c>
      <c r="C23" s="88"/>
      <c r="D23" s="88"/>
      <c r="E23" s="88"/>
      <c r="F23" s="88"/>
    </row>
    <row r="24" spans="1:6" x14ac:dyDescent="0.3">
      <c r="A24" s="88"/>
      <c r="B24" s="88" t="str">
        <f t="shared" ca="1" si="1"/>
        <v/>
      </c>
      <c r="C24" s="88"/>
      <c r="D24" s="88"/>
      <c r="E24" s="88"/>
      <c r="F24" s="88"/>
    </row>
    <row r="25" spans="1:6" x14ac:dyDescent="0.3">
      <c r="A25" s="88"/>
      <c r="B25" s="88" t="str">
        <f t="shared" ca="1" si="1"/>
        <v/>
      </c>
      <c r="C25" s="88"/>
      <c r="D25" s="88"/>
      <c r="E25" s="88"/>
      <c r="F25" s="88"/>
    </row>
    <row r="26" spans="1:6" x14ac:dyDescent="0.3">
      <c r="A26" s="88"/>
      <c r="B26" s="88" t="str">
        <f t="shared" ca="1" si="1"/>
        <v/>
      </c>
      <c r="C26" s="88"/>
      <c r="D26" s="88"/>
      <c r="E26" s="88"/>
      <c r="F26" s="88"/>
    </row>
    <row r="27" spans="1:6" x14ac:dyDescent="0.3">
      <c r="A27" s="88"/>
      <c r="B27" s="88" t="str">
        <f t="shared" ca="1" si="1"/>
        <v/>
      </c>
      <c r="C27" s="88"/>
      <c r="D27" s="88"/>
      <c r="E27" s="88"/>
      <c r="F27" s="88"/>
    </row>
    <row r="28" spans="1:6" x14ac:dyDescent="0.3">
      <c r="A28" s="88"/>
      <c r="B28" s="88" t="str">
        <f t="shared" ca="1" si="1"/>
        <v/>
      </c>
      <c r="C28" s="88"/>
      <c r="D28" s="88"/>
      <c r="E28" s="88"/>
      <c r="F28" s="88"/>
    </row>
    <row r="29" spans="1:6" x14ac:dyDescent="0.3">
      <c r="A29" s="88"/>
      <c r="B29" s="88" t="str">
        <f t="shared" ca="1" si="1"/>
        <v/>
      </c>
      <c r="C29" s="88"/>
      <c r="D29" s="88"/>
      <c r="E29" s="88"/>
      <c r="F29" s="88"/>
    </row>
    <row r="30" spans="1:6" x14ac:dyDescent="0.3">
      <c r="A30" s="88"/>
      <c r="B30" s="88" t="str">
        <f t="shared" ca="1" si="1"/>
        <v/>
      </c>
      <c r="C30" s="88"/>
      <c r="D30" s="88"/>
      <c r="E30" s="88"/>
      <c r="F30" s="88"/>
    </row>
    <row r="31" spans="1:6" x14ac:dyDescent="0.3">
      <c r="A31" s="88"/>
      <c r="B31" s="88" t="str">
        <f t="shared" ca="1" si="1"/>
        <v/>
      </c>
      <c r="C31" s="88"/>
      <c r="D31" s="88"/>
      <c r="E31" s="88"/>
      <c r="F31" s="88"/>
    </row>
    <row r="32" spans="1:6" x14ac:dyDescent="0.3">
      <c r="A32" s="88"/>
      <c r="B32" s="88" t="str">
        <f t="shared" ca="1" si="1"/>
        <v/>
      </c>
      <c r="C32" s="88"/>
      <c r="D32" s="88"/>
      <c r="E32" s="88"/>
      <c r="F32" s="88"/>
    </row>
    <row r="33" spans="1:6" x14ac:dyDescent="0.3">
      <c r="A33" s="88"/>
      <c r="B33" s="88" t="str">
        <f t="shared" ca="1" si="1"/>
        <v/>
      </c>
      <c r="C33" s="88"/>
      <c r="D33" s="88"/>
      <c r="E33" s="88"/>
      <c r="F33" s="88"/>
    </row>
    <row r="34" spans="1:6" x14ac:dyDescent="0.3">
      <c r="A34" s="88"/>
      <c r="B34" s="88" t="str">
        <f t="shared" ca="1" si="1"/>
        <v/>
      </c>
      <c r="C34" s="88"/>
      <c r="D34" s="88"/>
      <c r="E34" s="88"/>
      <c r="F34" s="88"/>
    </row>
    <row r="35" spans="1:6" x14ac:dyDescent="0.3">
      <c r="A35" s="88"/>
      <c r="B35" s="88" t="str">
        <f t="shared" ca="1" si="1"/>
        <v/>
      </c>
      <c r="C35" s="89"/>
      <c r="D35" s="89"/>
      <c r="E35" s="89"/>
      <c r="F35" s="89"/>
    </row>
  </sheetData>
  <dataValidations count="2">
    <dataValidation type="list" allowBlank="1" showInputMessage="1" showErrorMessage="1" sqref="C2:C35">
      <formula1>Story</formula1>
    </dataValidation>
    <dataValidation type="list" showInputMessage="1" showErrorMessage="1" sqref="F2:F35">
      <formula1>"New,InProgress,Deferred,Completed"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5"/>
  <sheetViews>
    <sheetView workbookViewId="0">
      <selection activeCell="B2" sqref="B2"/>
    </sheetView>
  </sheetViews>
  <sheetFormatPr defaultRowHeight="14.4" x14ac:dyDescent="0.3"/>
  <sheetData>
    <row r="1" spans="1:1" x14ac:dyDescent="0.3">
      <c r="A1" t="s">
        <v>89</v>
      </c>
    </row>
    <row r="2" spans="1:1" x14ac:dyDescent="0.3">
      <c r="A2" t="s">
        <v>90</v>
      </c>
    </row>
    <row r="3" spans="1:1" x14ac:dyDescent="0.3">
      <c r="A3" t="s">
        <v>91</v>
      </c>
    </row>
    <row r="4" spans="1:1" x14ac:dyDescent="0.3">
      <c r="A4" t="s">
        <v>92</v>
      </c>
    </row>
    <row r="5" spans="1:1" x14ac:dyDescent="0.3">
      <c r="A5" t="s">
        <v>93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62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9.77734375" customWidth="1"/>
    <col min="2" max="2" width="11.109375" customWidth="1"/>
    <col min="3" max="3" width="10.5546875" bestFit="1" customWidth="1"/>
  </cols>
  <sheetData>
    <row r="1" spans="1:3" x14ac:dyDescent="0.3">
      <c r="A1" t="s">
        <v>31</v>
      </c>
      <c r="B1" t="s">
        <v>32</v>
      </c>
      <c r="C1" t="s">
        <v>33</v>
      </c>
    </row>
    <row r="2" spans="1:3" x14ac:dyDescent="0.3">
      <c r="A2" s="71" t="s">
        <v>84</v>
      </c>
      <c r="B2" s="71"/>
      <c r="C2" s="71" t="s">
        <v>85</v>
      </c>
    </row>
    <row r="3" spans="1:3" x14ac:dyDescent="0.3">
      <c r="A3" s="69">
        <v>1</v>
      </c>
      <c r="B3" s="70">
        <v>42656</v>
      </c>
      <c r="C3" s="18">
        <f>Table3[[#This Row],[Start Date]]+13</f>
        <v>42669</v>
      </c>
    </row>
    <row r="4" spans="1:3" x14ac:dyDescent="0.3">
      <c r="A4">
        <f>+A3+1</f>
        <v>2</v>
      </c>
      <c r="B4" s="18">
        <f>+C3+1</f>
        <v>42670</v>
      </c>
      <c r="C4" s="18">
        <f>Table3[[#This Row],[Start Date]]+13</f>
        <v>42683</v>
      </c>
    </row>
    <row r="5" spans="1:3" x14ac:dyDescent="0.3">
      <c r="A5">
        <f t="shared" ref="A5:A62" si="0">+A4+1</f>
        <v>3</v>
      </c>
      <c r="B5" s="18">
        <f t="shared" ref="B5:B62" si="1">+C4+1</f>
        <v>42684</v>
      </c>
      <c r="C5" s="18">
        <f>Table3[[#This Row],[Start Date]]+13</f>
        <v>42697</v>
      </c>
    </row>
    <row r="6" spans="1:3" x14ac:dyDescent="0.3">
      <c r="A6">
        <f t="shared" si="0"/>
        <v>4</v>
      </c>
      <c r="B6" s="18">
        <f t="shared" si="1"/>
        <v>42698</v>
      </c>
      <c r="C6" s="18">
        <f>Table3[[#This Row],[Start Date]]+13</f>
        <v>42711</v>
      </c>
    </row>
    <row r="7" spans="1:3" x14ac:dyDescent="0.3">
      <c r="A7">
        <f t="shared" si="0"/>
        <v>5</v>
      </c>
      <c r="B7" s="18">
        <f t="shared" si="1"/>
        <v>42712</v>
      </c>
      <c r="C7" s="18">
        <f>Table3[[#This Row],[Start Date]]+13</f>
        <v>42725</v>
      </c>
    </row>
    <row r="8" spans="1:3" x14ac:dyDescent="0.3">
      <c r="A8">
        <f t="shared" si="0"/>
        <v>6</v>
      </c>
      <c r="B8" s="18">
        <f t="shared" si="1"/>
        <v>42726</v>
      </c>
      <c r="C8" s="18">
        <f>Table3[[#This Row],[Start Date]]+13</f>
        <v>42739</v>
      </c>
    </row>
    <row r="9" spans="1:3" x14ac:dyDescent="0.3">
      <c r="A9">
        <f t="shared" si="0"/>
        <v>7</v>
      </c>
      <c r="B9" s="18">
        <f t="shared" si="1"/>
        <v>42740</v>
      </c>
      <c r="C9" s="18">
        <f>Table3[[#This Row],[Start Date]]+13</f>
        <v>42753</v>
      </c>
    </row>
    <row r="10" spans="1:3" x14ac:dyDescent="0.3">
      <c r="A10">
        <f t="shared" si="0"/>
        <v>8</v>
      </c>
      <c r="B10" s="18">
        <f t="shared" si="1"/>
        <v>42754</v>
      </c>
      <c r="C10" s="18">
        <f>Table3[[#This Row],[Start Date]]+13</f>
        <v>42767</v>
      </c>
    </row>
    <row r="11" spans="1:3" x14ac:dyDescent="0.3">
      <c r="A11">
        <f t="shared" si="0"/>
        <v>9</v>
      </c>
      <c r="B11" s="18">
        <f t="shared" si="1"/>
        <v>42768</v>
      </c>
      <c r="C11" s="18">
        <f>Table3[[#This Row],[Start Date]]+13</f>
        <v>42781</v>
      </c>
    </row>
    <row r="12" spans="1:3" x14ac:dyDescent="0.3">
      <c r="A12">
        <f t="shared" si="0"/>
        <v>10</v>
      </c>
      <c r="B12" s="18">
        <f t="shared" si="1"/>
        <v>42782</v>
      </c>
      <c r="C12" s="18">
        <f>Table3[[#This Row],[Start Date]]+13</f>
        <v>42795</v>
      </c>
    </row>
    <row r="13" spans="1:3" x14ac:dyDescent="0.3">
      <c r="A13">
        <f t="shared" si="0"/>
        <v>11</v>
      </c>
      <c r="B13" s="18">
        <f t="shared" si="1"/>
        <v>42796</v>
      </c>
      <c r="C13" s="18">
        <f>Table3[[#This Row],[Start Date]]+13</f>
        <v>42809</v>
      </c>
    </row>
    <row r="14" spans="1:3" x14ac:dyDescent="0.3">
      <c r="A14">
        <f t="shared" si="0"/>
        <v>12</v>
      </c>
      <c r="B14" s="18">
        <f t="shared" si="1"/>
        <v>42810</v>
      </c>
      <c r="C14" s="18">
        <f>Table3[[#This Row],[Start Date]]+13</f>
        <v>42823</v>
      </c>
    </row>
    <row r="15" spans="1:3" x14ac:dyDescent="0.3">
      <c r="A15">
        <f t="shared" si="0"/>
        <v>13</v>
      </c>
      <c r="B15" s="18">
        <f t="shared" si="1"/>
        <v>42824</v>
      </c>
      <c r="C15" s="18">
        <f>Table3[[#This Row],[Start Date]]+13</f>
        <v>42837</v>
      </c>
    </row>
    <row r="16" spans="1:3" x14ac:dyDescent="0.3">
      <c r="A16">
        <f t="shared" si="0"/>
        <v>14</v>
      </c>
      <c r="B16" s="18">
        <f t="shared" si="1"/>
        <v>42838</v>
      </c>
      <c r="C16" s="18">
        <f>Table3[[#This Row],[Start Date]]+13</f>
        <v>42851</v>
      </c>
    </row>
    <row r="17" spans="1:3" x14ac:dyDescent="0.3">
      <c r="A17">
        <f t="shared" si="0"/>
        <v>15</v>
      </c>
      <c r="B17" s="18">
        <f t="shared" si="1"/>
        <v>42852</v>
      </c>
      <c r="C17" s="18">
        <f>Table3[[#This Row],[Start Date]]+13</f>
        <v>42865</v>
      </c>
    </row>
    <row r="18" spans="1:3" x14ac:dyDescent="0.3">
      <c r="A18">
        <f t="shared" si="0"/>
        <v>16</v>
      </c>
      <c r="B18" s="18">
        <f t="shared" si="1"/>
        <v>42866</v>
      </c>
      <c r="C18" s="18">
        <f>Table3[[#This Row],[Start Date]]+13</f>
        <v>42879</v>
      </c>
    </row>
    <row r="19" spans="1:3" x14ac:dyDescent="0.3">
      <c r="A19">
        <f t="shared" si="0"/>
        <v>17</v>
      </c>
      <c r="B19" s="18">
        <f t="shared" si="1"/>
        <v>42880</v>
      </c>
      <c r="C19" s="18">
        <f>Table3[[#This Row],[Start Date]]+13</f>
        <v>42893</v>
      </c>
    </row>
    <row r="20" spans="1:3" x14ac:dyDescent="0.3">
      <c r="A20">
        <f t="shared" si="0"/>
        <v>18</v>
      </c>
      <c r="B20" s="18">
        <f t="shared" si="1"/>
        <v>42894</v>
      </c>
      <c r="C20" s="18">
        <f>Table3[[#This Row],[Start Date]]+13</f>
        <v>42907</v>
      </c>
    </row>
    <row r="21" spans="1:3" x14ac:dyDescent="0.3">
      <c r="A21">
        <f t="shared" si="0"/>
        <v>19</v>
      </c>
      <c r="B21" s="18">
        <f t="shared" si="1"/>
        <v>42908</v>
      </c>
      <c r="C21" s="18">
        <f>Table3[[#This Row],[Start Date]]+13</f>
        <v>42921</v>
      </c>
    </row>
    <row r="22" spans="1:3" x14ac:dyDescent="0.3">
      <c r="A22">
        <f t="shared" si="0"/>
        <v>20</v>
      </c>
      <c r="B22" s="18">
        <f t="shared" si="1"/>
        <v>42922</v>
      </c>
      <c r="C22" s="18">
        <f>Table3[[#This Row],[Start Date]]+13</f>
        <v>42935</v>
      </c>
    </row>
    <row r="23" spans="1:3" x14ac:dyDescent="0.3">
      <c r="A23">
        <f t="shared" si="0"/>
        <v>21</v>
      </c>
      <c r="B23" s="18">
        <f t="shared" si="1"/>
        <v>42936</v>
      </c>
      <c r="C23" s="18">
        <f>Table3[[#This Row],[Start Date]]+13</f>
        <v>42949</v>
      </c>
    </row>
    <row r="24" spans="1:3" x14ac:dyDescent="0.3">
      <c r="A24">
        <f t="shared" si="0"/>
        <v>22</v>
      </c>
      <c r="B24" s="18">
        <f t="shared" si="1"/>
        <v>42950</v>
      </c>
      <c r="C24" s="18">
        <f>Table3[[#This Row],[Start Date]]+13</f>
        <v>42963</v>
      </c>
    </row>
    <row r="25" spans="1:3" x14ac:dyDescent="0.3">
      <c r="A25">
        <f t="shared" si="0"/>
        <v>23</v>
      </c>
      <c r="B25" s="18">
        <f t="shared" si="1"/>
        <v>42964</v>
      </c>
      <c r="C25" s="18">
        <f>Table3[[#This Row],[Start Date]]+13</f>
        <v>42977</v>
      </c>
    </row>
    <row r="26" spans="1:3" x14ac:dyDescent="0.3">
      <c r="A26">
        <f t="shared" si="0"/>
        <v>24</v>
      </c>
      <c r="B26" s="18">
        <f t="shared" si="1"/>
        <v>42978</v>
      </c>
      <c r="C26" s="18">
        <f>Table3[[#This Row],[Start Date]]+13</f>
        <v>42991</v>
      </c>
    </row>
    <row r="27" spans="1:3" x14ac:dyDescent="0.3">
      <c r="A27">
        <f t="shared" si="0"/>
        <v>25</v>
      </c>
      <c r="B27" s="18">
        <f t="shared" si="1"/>
        <v>42992</v>
      </c>
      <c r="C27" s="18">
        <f>Table3[[#This Row],[Start Date]]+13</f>
        <v>43005</v>
      </c>
    </row>
    <row r="28" spans="1:3" x14ac:dyDescent="0.3">
      <c r="A28">
        <f t="shared" si="0"/>
        <v>26</v>
      </c>
      <c r="B28" s="18">
        <f t="shared" si="1"/>
        <v>43006</v>
      </c>
      <c r="C28" s="18">
        <f>Table3[[#This Row],[Start Date]]+13</f>
        <v>43019</v>
      </c>
    </row>
    <row r="29" spans="1:3" x14ac:dyDescent="0.3">
      <c r="A29">
        <f t="shared" si="0"/>
        <v>27</v>
      </c>
      <c r="B29" s="18">
        <f t="shared" si="1"/>
        <v>43020</v>
      </c>
      <c r="C29" s="18">
        <f>Table3[[#This Row],[Start Date]]+13</f>
        <v>43033</v>
      </c>
    </row>
    <row r="30" spans="1:3" x14ac:dyDescent="0.3">
      <c r="A30">
        <f t="shared" si="0"/>
        <v>28</v>
      </c>
      <c r="B30" s="18">
        <f t="shared" si="1"/>
        <v>43034</v>
      </c>
      <c r="C30" s="18">
        <f>Table3[[#This Row],[Start Date]]+13</f>
        <v>43047</v>
      </c>
    </row>
    <row r="31" spans="1:3" x14ac:dyDescent="0.3">
      <c r="A31">
        <f t="shared" si="0"/>
        <v>29</v>
      </c>
      <c r="B31" s="18">
        <f t="shared" si="1"/>
        <v>43048</v>
      </c>
      <c r="C31" s="18">
        <f>Table3[[#This Row],[Start Date]]+13</f>
        <v>43061</v>
      </c>
    </row>
    <row r="32" spans="1:3" x14ac:dyDescent="0.3">
      <c r="A32">
        <f t="shared" si="0"/>
        <v>30</v>
      </c>
      <c r="B32" s="18">
        <f t="shared" si="1"/>
        <v>43062</v>
      </c>
      <c r="C32" s="18">
        <f>Table3[[#This Row],[Start Date]]+13</f>
        <v>43075</v>
      </c>
    </row>
    <row r="33" spans="1:3" x14ac:dyDescent="0.3">
      <c r="A33">
        <f t="shared" si="0"/>
        <v>31</v>
      </c>
      <c r="B33" s="18">
        <f t="shared" si="1"/>
        <v>43076</v>
      </c>
      <c r="C33" s="18">
        <f>Table3[[#This Row],[Start Date]]+13</f>
        <v>43089</v>
      </c>
    </row>
    <row r="34" spans="1:3" x14ac:dyDescent="0.3">
      <c r="A34">
        <f t="shared" si="0"/>
        <v>32</v>
      </c>
      <c r="B34" s="18">
        <f t="shared" si="1"/>
        <v>43090</v>
      </c>
      <c r="C34" s="18">
        <f>Table3[[#This Row],[Start Date]]+13</f>
        <v>43103</v>
      </c>
    </row>
    <row r="35" spans="1:3" x14ac:dyDescent="0.3">
      <c r="A35">
        <f t="shared" si="0"/>
        <v>33</v>
      </c>
      <c r="B35" s="18">
        <f t="shared" si="1"/>
        <v>43104</v>
      </c>
      <c r="C35" s="18">
        <f>Table3[[#This Row],[Start Date]]+13</f>
        <v>43117</v>
      </c>
    </row>
    <row r="36" spans="1:3" x14ac:dyDescent="0.3">
      <c r="A36">
        <f t="shared" si="0"/>
        <v>34</v>
      </c>
      <c r="B36" s="18">
        <f t="shared" si="1"/>
        <v>43118</v>
      </c>
      <c r="C36" s="18">
        <f>Table3[[#This Row],[Start Date]]+13</f>
        <v>43131</v>
      </c>
    </row>
    <row r="37" spans="1:3" x14ac:dyDescent="0.3">
      <c r="A37">
        <f t="shared" si="0"/>
        <v>35</v>
      </c>
      <c r="B37" s="18">
        <f t="shared" si="1"/>
        <v>43132</v>
      </c>
      <c r="C37" s="18">
        <f>Table3[[#This Row],[Start Date]]+13</f>
        <v>43145</v>
      </c>
    </row>
    <row r="38" spans="1:3" x14ac:dyDescent="0.3">
      <c r="A38">
        <f t="shared" si="0"/>
        <v>36</v>
      </c>
      <c r="B38" s="18">
        <f t="shared" si="1"/>
        <v>43146</v>
      </c>
      <c r="C38" s="18">
        <f>Table3[[#This Row],[Start Date]]+13</f>
        <v>43159</v>
      </c>
    </row>
    <row r="39" spans="1:3" x14ac:dyDescent="0.3">
      <c r="A39">
        <f t="shared" si="0"/>
        <v>37</v>
      </c>
      <c r="B39" s="18">
        <f t="shared" si="1"/>
        <v>43160</v>
      </c>
      <c r="C39" s="18">
        <f>Table3[[#This Row],[Start Date]]+13</f>
        <v>43173</v>
      </c>
    </row>
    <row r="40" spans="1:3" x14ac:dyDescent="0.3">
      <c r="A40">
        <f t="shared" si="0"/>
        <v>38</v>
      </c>
      <c r="B40" s="18">
        <f t="shared" si="1"/>
        <v>43174</v>
      </c>
      <c r="C40" s="18">
        <f>Table3[[#This Row],[Start Date]]+13</f>
        <v>43187</v>
      </c>
    </row>
    <row r="41" spans="1:3" x14ac:dyDescent="0.3">
      <c r="A41">
        <f t="shared" si="0"/>
        <v>39</v>
      </c>
      <c r="B41" s="18">
        <f t="shared" si="1"/>
        <v>43188</v>
      </c>
      <c r="C41" s="18">
        <f>Table3[[#This Row],[Start Date]]+13</f>
        <v>43201</v>
      </c>
    </row>
    <row r="42" spans="1:3" x14ac:dyDescent="0.3">
      <c r="A42">
        <f t="shared" si="0"/>
        <v>40</v>
      </c>
      <c r="B42" s="18">
        <f t="shared" si="1"/>
        <v>43202</v>
      </c>
      <c r="C42" s="18">
        <f>Table3[[#This Row],[Start Date]]+13</f>
        <v>43215</v>
      </c>
    </row>
    <row r="43" spans="1:3" x14ac:dyDescent="0.3">
      <c r="A43">
        <f t="shared" si="0"/>
        <v>41</v>
      </c>
      <c r="B43" s="18">
        <f t="shared" si="1"/>
        <v>43216</v>
      </c>
      <c r="C43" s="18">
        <f>Table3[[#This Row],[Start Date]]+13</f>
        <v>43229</v>
      </c>
    </row>
    <row r="44" spans="1:3" x14ac:dyDescent="0.3">
      <c r="A44">
        <f t="shared" si="0"/>
        <v>42</v>
      </c>
      <c r="B44" s="18">
        <f t="shared" si="1"/>
        <v>43230</v>
      </c>
      <c r="C44" s="18">
        <f>Table3[[#This Row],[Start Date]]+13</f>
        <v>43243</v>
      </c>
    </row>
    <row r="45" spans="1:3" x14ac:dyDescent="0.3">
      <c r="A45">
        <f t="shared" si="0"/>
        <v>43</v>
      </c>
      <c r="B45" s="18">
        <f t="shared" si="1"/>
        <v>43244</v>
      </c>
      <c r="C45" s="18">
        <f>Table3[[#This Row],[Start Date]]+13</f>
        <v>43257</v>
      </c>
    </row>
    <row r="46" spans="1:3" x14ac:dyDescent="0.3">
      <c r="A46">
        <f t="shared" si="0"/>
        <v>44</v>
      </c>
      <c r="B46" s="18">
        <f t="shared" si="1"/>
        <v>43258</v>
      </c>
      <c r="C46" s="18">
        <f>Table3[[#This Row],[Start Date]]+13</f>
        <v>43271</v>
      </c>
    </row>
    <row r="47" spans="1:3" x14ac:dyDescent="0.3">
      <c r="A47">
        <f t="shared" si="0"/>
        <v>45</v>
      </c>
      <c r="B47" s="18">
        <f t="shared" si="1"/>
        <v>43272</v>
      </c>
      <c r="C47" s="18">
        <f>Table3[[#This Row],[Start Date]]+13</f>
        <v>43285</v>
      </c>
    </row>
    <row r="48" spans="1:3" x14ac:dyDescent="0.3">
      <c r="A48">
        <f t="shared" si="0"/>
        <v>46</v>
      </c>
      <c r="B48" s="18">
        <f t="shared" si="1"/>
        <v>43286</v>
      </c>
      <c r="C48" s="18">
        <f>Table3[[#This Row],[Start Date]]+13</f>
        <v>43299</v>
      </c>
    </row>
    <row r="49" spans="1:3" x14ac:dyDescent="0.3">
      <c r="A49">
        <f t="shared" si="0"/>
        <v>47</v>
      </c>
      <c r="B49" s="18">
        <f t="shared" si="1"/>
        <v>43300</v>
      </c>
      <c r="C49" s="18">
        <f>Table3[[#This Row],[Start Date]]+13</f>
        <v>43313</v>
      </c>
    </row>
    <row r="50" spans="1:3" x14ac:dyDescent="0.3">
      <c r="A50">
        <f t="shared" si="0"/>
        <v>48</v>
      </c>
      <c r="B50" s="18">
        <f t="shared" si="1"/>
        <v>43314</v>
      </c>
      <c r="C50" s="18">
        <f>Table3[[#This Row],[Start Date]]+13</f>
        <v>43327</v>
      </c>
    </row>
    <row r="51" spans="1:3" x14ac:dyDescent="0.3">
      <c r="A51">
        <f t="shared" si="0"/>
        <v>49</v>
      </c>
      <c r="B51" s="18">
        <f t="shared" si="1"/>
        <v>43328</v>
      </c>
      <c r="C51" s="18">
        <f>Table3[[#This Row],[Start Date]]+13</f>
        <v>43341</v>
      </c>
    </row>
    <row r="52" spans="1:3" x14ac:dyDescent="0.3">
      <c r="A52">
        <f t="shared" si="0"/>
        <v>50</v>
      </c>
      <c r="B52" s="18">
        <f t="shared" si="1"/>
        <v>43342</v>
      </c>
      <c r="C52" s="18">
        <f>Table3[[#This Row],[Start Date]]+13</f>
        <v>43355</v>
      </c>
    </row>
    <row r="53" spans="1:3" x14ac:dyDescent="0.3">
      <c r="A53">
        <f t="shared" si="0"/>
        <v>51</v>
      </c>
      <c r="B53" s="18">
        <f t="shared" si="1"/>
        <v>43356</v>
      </c>
      <c r="C53" s="18">
        <f>Table3[[#This Row],[Start Date]]+13</f>
        <v>43369</v>
      </c>
    </row>
    <row r="54" spans="1:3" x14ac:dyDescent="0.3">
      <c r="A54">
        <f t="shared" si="0"/>
        <v>52</v>
      </c>
      <c r="B54" s="18">
        <f t="shared" si="1"/>
        <v>43370</v>
      </c>
      <c r="C54" s="18">
        <f>Table3[[#This Row],[Start Date]]+13</f>
        <v>43383</v>
      </c>
    </row>
    <row r="55" spans="1:3" x14ac:dyDescent="0.3">
      <c r="A55">
        <f t="shared" si="0"/>
        <v>53</v>
      </c>
      <c r="B55" s="18">
        <f t="shared" si="1"/>
        <v>43384</v>
      </c>
      <c r="C55" s="18">
        <f>Table3[[#This Row],[Start Date]]+13</f>
        <v>43397</v>
      </c>
    </row>
    <row r="56" spans="1:3" x14ac:dyDescent="0.3">
      <c r="A56">
        <f t="shared" si="0"/>
        <v>54</v>
      </c>
      <c r="B56" s="18">
        <f t="shared" si="1"/>
        <v>43398</v>
      </c>
      <c r="C56" s="18">
        <f>Table3[[#This Row],[Start Date]]+13</f>
        <v>43411</v>
      </c>
    </row>
    <row r="57" spans="1:3" x14ac:dyDescent="0.3">
      <c r="A57">
        <f t="shared" si="0"/>
        <v>55</v>
      </c>
      <c r="B57" s="18">
        <f t="shared" si="1"/>
        <v>43412</v>
      </c>
      <c r="C57" s="18">
        <f>Table3[[#This Row],[Start Date]]+13</f>
        <v>43425</v>
      </c>
    </row>
    <row r="58" spans="1:3" x14ac:dyDescent="0.3">
      <c r="A58">
        <f t="shared" si="0"/>
        <v>56</v>
      </c>
      <c r="B58" s="18">
        <f t="shared" si="1"/>
        <v>43426</v>
      </c>
      <c r="C58" s="18">
        <f>Table3[[#This Row],[Start Date]]+13</f>
        <v>43439</v>
      </c>
    </row>
    <row r="59" spans="1:3" x14ac:dyDescent="0.3">
      <c r="A59">
        <f t="shared" si="0"/>
        <v>57</v>
      </c>
      <c r="B59" s="18">
        <f t="shared" si="1"/>
        <v>43440</v>
      </c>
      <c r="C59" s="18">
        <f>Table3[[#This Row],[Start Date]]+13</f>
        <v>43453</v>
      </c>
    </row>
    <row r="60" spans="1:3" x14ac:dyDescent="0.3">
      <c r="A60">
        <f t="shared" si="0"/>
        <v>58</v>
      </c>
      <c r="B60" s="18">
        <f t="shared" si="1"/>
        <v>43454</v>
      </c>
      <c r="C60" s="18">
        <f>Table3[[#This Row],[Start Date]]+13</f>
        <v>43467</v>
      </c>
    </row>
    <row r="61" spans="1:3" x14ac:dyDescent="0.3">
      <c r="A61">
        <f t="shared" si="0"/>
        <v>59</v>
      </c>
      <c r="B61" s="18">
        <f t="shared" si="1"/>
        <v>43468</v>
      </c>
      <c r="C61" s="18">
        <f>Table3[[#This Row],[Start Date]]+13</f>
        <v>43481</v>
      </c>
    </row>
    <row r="62" spans="1:3" x14ac:dyDescent="0.3">
      <c r="A62">
        <f t="shared" si="0"/>
        <v>60</v>
      </c>
      <c r="B62" s="18">
        <f t="shared" si="1"/>
        <v>43482</v>
      </c>
      <c r="C62" s="18">
        <f>Table3[[#This Row],[Start Date]]+13</f>
        <v>43495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O1:R12"/>
  <sheetViews>
    <sheetView workbookViewId="0"/>
  </sheetViews>
  <sheetFormatPr defaultRowHeight="14.4" x14ac:dyDescent="0.3"/>
  <sheetData>
    <row r="1" spans="15:18" x14ac:dyDescent="0.3">
      <c r="O1" s="1" t="s">
        <v>28</v>
      </c>
      <c r="P1" s="2" t="s">
        <v>27</v>
      </c>
      <c r="Q1" s="1" t="s">
        <v>29</v>
      </c>
      <c r="R1" s="2" t="s">
        <v>30</v>
      </c>
    </row>
    <row r="2" spans="15:18" x14ac:dyDescent="0.3">
      <c r="O2" s="1">
        <v>0</v>
      </c>
      <c r="P2" s="2">
        <f>Sprint!G69</f>
        <v>0</v>
      </c>
      <c r="Q2" s="2">
        <v>0</v>
      </c>
      <c r="R2" s="2">
        <f>P2</f>
        <v>0</v>
      </c>
    </row>
    <row r="3" spans="15:18" x14ac:dyDescent="0.3">
      <c r="O3" s="1">
        <v>1</v>
      </c>
      <c r="P3" s="2">
        <f>SUMIFS(Sprint!AD$69:AW$69,Sprint!$AD$3:$AW$3,"=To Do",Sprint!$AD$2:$AW$2,O3)</f>
        <v>0</v>
      </c>
      <c r="Q3" s="1">
        <f>SUMIFS(Sprint!AD$69:AW$69,Sprint!$AD$3:$AW$3,"=In Prog",Sprint!$AD$2:$AW$2,O3)</f>
        <v>0</v>
      </c>
      <c r="R3" s="2">
        <f t="shared" ref="R3:R12" si="0">ROUND($R$2*(($O$12-O3)/$O$12),0)</f>
        <v>0</v>
      </c>
    </row>
    <row r="4" spans="15:18" x14ac:dyDescent="0.3">
      <c r="O4" s="1">
        <v>2</v>
      </c>
      <c r="P4" s="2">
        <f>SUMIFS(Sprint!AD$69:AW$69,Sprint!$AD$3:$AW$3,"=To Do",Sprint!$AD$2:$AW$2,O4)</f>
        <v>0</v>
      </c>
      <c r="Q4" s="1">
        <f>SUMIFS(Sprint!AD$69:AW$69,Sprint!$AD$3:$AW$3,"=In Prog",Sprint!$AD$2:$AW$2,O4)</f>
        <v>0</v>
      </c>
      <c r="R4" s="2">
        <f t="shared" si="0"/>
        <v>0</v>
      </c>
    </row>
    <row r="5" spans="15:18" x14ac:dyDescent="0.3">
      <c r="O5" s="1">
        <v>3</v>
      </c>
      <c r="P5" s="2">
        <f>SUMIFS(Sprint!AD$69:AW$69,Sprint!$AD$3:$AW$3,"=To Do",Sprint!$AD$2:$AW$2,O5)</f>
        <v>0</v>
      </c>
      <c r="Q5" s="1">
        <f>SUMIFS(Sprint!AD$69:AW$69,Sprint!$AD$3:$AW$3,"=In Prog",Sprint!$AD$2:$AW$2,O5)</f>
        <v>0</v>
      </c>
      <c r="R5" s="2">
        <f t="shared" si="0"/>
        <v>0</v>
      </c>
    </row>
    <row r="6" spans="15:18" x14ac:dyDescent="0.3">
      <c r="O6" s="1">
        <v>4</v>
      </c>
      <c r="P6" s="2">
        <f>SUMIFS(Sprint!AD$69:AW$69,Sprint!$AD$3:$AW$3,"=To Do",Sprint!$AD$2:$AW$2,O6)</f>
        <v>0</v>
      </c>
      <c r="Q6" s="1">
        <f>SUMIFS(Sprint!AD$69:AW$69,Sprint!$AD$3:$AW$3,"=In Prog",Sprint!$AD$2:$AW$2,O6)</f>
        <v>0</v>
      </c>
      <c r="R6" s="2">
        <f t="shared" si="0"/>
        <v>0</v>
      </c>
    </row>
    <row r="7" spans="15:18" x14ac:dyDescent="0.3">
      <c r="O7" s="1">
        <v>5</v>
      </c>
      <c r="P7" s="2">
        <f>SUMIFS(Sprint!AD$69:AW$69,Sprint!$AD$3:$AW$3,"=To Do",Sprint!$AD$2:$AW$2,O7)</f>
        <v>0</v>
      </c>
      <c r="Q7" s="1">
        <f>SUMIFS(Sprint!AD$69:AW$69,Sprint!$AD$3:$AW$3,"=In Prog",Sprint!$AD$2:$AW$2,O7)</f>
        <v>0</v>
      </c>
      <c r="R7" s="2">
        <f t="shared" si="0"/>
        <v>0</v>
      </c>
    </row>
    <row r="8" spans="15:18" x14ac:dyDescent="0.3">
      <c r="O8" s="1">
        <v>6</v>
      </c>
      <c r="P8" s="2">
        <f>SUMIFS(Sprint!AD$69:AW$69,Sprint!$AD$3:$AW$3,"=To Do",Sprint!$AD$2:$AW$2,O8)</f>
        <v>0</v>
      </c>
      <c r="Q8" s="1">
        <f>SUMIFS(Sprint!AD$69:AW$69,Sprint!$AD$3:$AW$3,"=In Prog",Sprint!$AD$2:$AW$2,O8)</f>
        <v>0</v>
      </c>
      <c r="R8" s="2">
        <f t="shared" si="0"/>
        <v>0</v>
      </c>
    </row>
    <row r="9" spans="15:18" x14ac:dyDescent="0.3">
      <c r="O9" s="1">
        <v>7</v>
      </c>
      <c r="P9" s="2">
        <f>SUMIFS(Sprint!AD$69:AW$69,Sprint!$AD$3:$AW$3,"=To Do",Sprint!$AD$2:$AW$2,O9)</f>
        <v>0</v>
      </c>
      <c r="Q9" s="1">
        <f>SUMIFS(Sprint!AD$69:AW$69,Sprint!$AD$3:$AW$3,"=In Prog",Sprint!$AD$2:$AW$2,O9)</f>
        <v>0</v>
      </c>
      <c r="R9" s="2">
        <f t="shared" si="0"/>
        <v>0</v>
      </c>
    </row>
    <row r="10" spans="15:18" x14ac:dyDescent="0.3">
      <c r="O10" s="1">
        <v>8</v>
      </c>
      <c r="P10" s="2">
        <f>SUMIFS(Sprint!AD$69:AW$69,Sprint!$AD$3:$AW$3,"=To Do",Sprint!$AD$2:$AW$2,O10)</f>
        <v>0</v>
      </c>
      <c r="Q10" s="1">
        <f>SUMIFS(Sprint!AD$69:AW$69,Sprint!$AD$3:$AW$3,"=In Prog",Sprint!$AD$2:$AW$2,O10)</f>
        <v>0</v>
      </c>
      <c r="R10" s="2">
        <f t="shared" si="0"/>
        <v>0</v>
      </c>
    </row>
    <row r="11" spans="15:18" x14ac:dyDescent="0.3">
      <c r="O11" s="1">
        <v>9</v>
      </c>
      <c r="P11" s="2">
        <f>SUMIFS(Sprint!AD$69:AW$69,Sprint!$AD$3:$AW$3,"=To Do",Sprint!$AD$2:$AW$2,O11)</f>
        <v>0</v>
      </c>
      <c r="Q11" s="1">
        <f>SUMIFS(Sprint!AD$69:AW$69,Sprint!$AD$3:$AW$3,"=In Prog",Sprint!$AD$2:$AW$2,O11)</f>
        <v>0</v>
      </c>
      <c r="R11" s="2">
        <f t="shared" si="0"/>
        <v>0</v>
      </c>
    </row>
    <row r="12" spans="15:18" x14ac:dyDescent="0.3">
      <c r="O12" s="1">
        <v>10</v>
      </c>
      <c r="P12" s="2">
        <f>SUMIFS(Sprint!AD$69:AW$69,Sprint!$AD$3:$AW$3,"=To Do",Sprint!$AD$2:$AW$2,O12)</f>
        <v>0</v>
      </c>
      <c r="Q12" s="1">
        <f>SUMIFS(Sprint!AD$69:AW$69,Sprint!$AD$3:$AW$3,"=In Prog",Sprint!$AD$2:$AW$2,O12)</f>
        <v>0</v>
      </c>
      <c r="R12" s="2">
        <f t="shared" si="0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T31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4.4" x14ac:dyDescent="0.3"/>
  <cols>
    <col min="1" max="1" width="9.5546875" customWidth="1"/>
    <col min="2" max="2" width="22.77734375" customWidth="1"/>
    <col min="3" max="3" width="8.21875" bestFit="1" customWidth="1"/>
    <col min="4" max="4" width="9.44140625" customWidth="1"/>
    <col min="5" max="5" width="11.77734375" bestFit="1" customWidth="1"/>
    <col min="12" max="12" width="4" customWidth="1"/>
    <col min="13" max="72" width="3.77734375" customWidth="1"/>
  </cols>
  <sheetData>
    <row r="1" spans="1:72" ht="24" customHeight="1" x14ac:dyDescent="0.3">
      <c r="M1" s="46" t="s">
        <v>73</v>
      </c>
      <c r="N1" s="46"/>
      <c r="O1" s="46"/>
      <c r="P1" s="46"/>
      <c r="Q1" s="46"/>
      <c r="R1" s="56">
        <v>1</v>
      </c>
      <c r="S1" s="46"/>
      <c r="T1" s="47"/>
      <c r="U1" s="48"/>
      <c r="V1" s="49" t="s">
        <v>74</v>
      </c>
      <c r="W1" s="47"/>
      <c r="X1" s="50"/>
      <c r="Y1" s="49" t="s">
        <v>75</v>
      </c>
      <c r="Z1" s="47"/>
      <c r="AA1" s="47"/>
      <c r="AB1" s="51"/>
      <c r="AC1" s="52" t="s">
        <v>76</v>
      </c>
      <c r="AD1" s="47"/>
      <c r="AE1" s="47"/>
      <c r="AF1" s="47"/>
      <c r="AG1" s="53"/>
      <c r="AH1" s="52" t="s">
        <v>77</v>
      </c>
      <c r="AI1" s="54"/>
      <c r="AJ1" s="54"/>
      <c r="AK1" s="47"/>
      <c r="AL1" s="47"/>
      <c r="AM1" s="47"/>
      <c r="AN1" s="47"/>
      <c r="AO1" s="55"/>
      <c r="AP1" s="52" t="s">
        <v>78</v>
      </c>
    </row>
    <row r="2" spans="1:72" ht="28.2" customHeight="1" thickBot="1" x14ac:dyDescent="0.35">
      <c r="A2" s="58" t="s">
        <v>22</v>
      </c>
      <c r="B2" s="58" t="s">
        <v>0</v>
      </c>
      <c r="C2" s="64" t="s">
        <v>23</v>
      </c>
      <c r="D2" s="64" t="s">
        <v>16</v>
      </c>
      <c r="E2" s="64" t="s">
        <v>24</v>
      </c>
      <c r="F2" s="65" t="s">
        <v>4</v>
      </c>
      <c r="G2" s="60" t="s">
        <v>82</v>
      </c>
      <c r="H2" s="60" t="s">
        <v>79</v>
      </c>
      <c r="I2" s="60" t="s">
        <v>72</v>
      </c>
      <c r="J2" s="60" t="s">
        <v>80</v>
      </c>
      <c r="K2" s="60" t="s">
        <v>81</v>
      </c>
      <c r="L2" s="60"/>
      <c r="M2" s="61">
        <v>1</v>
      </c>
      <c r="N2" s="59">
        <v>2</v>
      </c>
      <c r="O2" s="59">
        <v>3</v>
      </c>
      <c r="P2" s="59">
        <v>4</v>
      </c>
      <c r="Q2" s="59">
        <v>5</v>
      </c>
      <c r="R2" s="59">
        <v>6</v>
      </c>
      <c r="S2" s="59">
        <v>7</v>
      </c>
      <c r="T2" s="59">
        <v>8</v>
      </c>
      <c r="U2" s="59">
        <v>9</v>
      </c>
      <c r="V2" s="59">
        <v>10</v>
      </c>
      <c r="W2" s="59">
        <v>11</v>
      </c>
      <c r="X2" s="59">
        <v>12</v>
      </c>
      <c r="Y2" s="59">
        <v>13</v>
      </c>
      <c r="Z2" s="59">
        <v>14</v>
      </c>
      <c r="AA2" s="59">
        <v>15</v>
      </c>
      <c r="AB2" s="59">
        <v>16</v>
      </c>
      <c r="AC2" s="59">
        <v>17</v>
      </c>
      <c r="AD2" s="59">
        <v>18</v>
      </c>
      <c r="AE2" s="59">
        <v>19</v>
      </c>
      <c r="AF2" s="59">
        <v>20</v>
      </c>
      <c r="AG2" s="59">
        <v>21</v>
      </c>
      <c r="AH2" s="59">
        <v>22</v>
      </c>
      <c r="AI2" s="59">
        <v>23</v>
      </c>
      <c r="AJ2" s="59">
        <v>24</v>
      </c>
      <c r="AK2" s="59">
        <v>25</v>
      </c>
      <c r="AL2" s="59">
        <v>26</v>
      </c>
      <c r="AM2" s="59">
        <v>27</v>
      </c>
      <c r="AN2" s="59">
        <v>28</v>
      </c>
      <c r="AO2" s="59">
        <v>29</v>
      </c>
      <c r="AP2" s="59">
        <v>30</v>
      </c>
      <c r="AQ2" s="59">
        <v>31</v>
      </c>
      <c r="AR2" s="59">
        <v>32</v>
      </c>
      <c r="AS2" s="59">
        <v>33</v>
      </c>
      <c r="AT2" s="59">
        <v>34</v>
      </c>
      <c r="AU2" s="59">
        <v>35</v>
      </c>
      <c r="AV2" s="59">
        <v>36</v>
      </c>
      <c r="AW2" s="59">
        <v>37</v>
      </c>
      <c r="AX2" s="59">
        <v>38</v>
      </c>
      <c r="AY2" s="59">
        <v>39</v>
      </c>
      <c r="AZ2" s="59">
        <v>40</v>
      </c>
      <c r="BA2" s="59">
        <v>41</v>
      </c>
      <c r="BB2" s="59">
        <v>42</v>
      </c>
      <c r="BC2" s="59">
        <v>43</v>
      </c>
      <c r="BD2" s="59">
        <v>44</v>
      </c>
      <c r="BE2" s="59">
        <v>45</v>
      </c>
      <c r="BF2" s="59">
        <v>46</v>
      </c>
      <c r="BG2" s="59">
        <v>47</v>
      </c>
      <c r="BH2" s="59">
        <v>48</v>
      </c>
      <c r="BI2" s="59">
        <v>49</v>
      </c>
      <c r="BJ2" s="59">
        <v>50</v>
      </c>
      <c r="BK2" s="59">
        <v>51</v>
      </c>
      <c r="BL2" s="59">
        <v>52</v>
      </c>
      <c r="BM2" s="59">
        <v>53</v>
      </c>
      <c r="BN2" s="59">
        <v>54</v>
      </c>
      <c r="BO2" s="59">
        <v>55</v>
      </c>
      <c r="BP2" s="59">
        <v>56</v>
      </c>
      <c r="BQ2" s="59">
        <v>57</v>
      </c>
      <c r="BR2" s="59">
        <v>58</v>
      </c>
      <c r="BS2" s="59">
        <v>59</v>
      </c>
      <c r="BT2" s="59">
        <v>60</v>
      </c>
    </row>
    <row r="3" spans="1:72" x14ac:dyDescent="0.3">
      <c r="A3">
        <v>1</v>
      </c>
      <c r="B3" t="s">
        <v>106</v>
      </c>
      <c r="C3" s="66">
        <f ca="1">IF(A3&lt;&gt;"",SUMIF(SprintStories,Stories!A3,TaskEst),"")</f>
        <v>14</v>
      </c>
      <c r="D3" s="66">
        <f t="shared" ref="D3:D25" ca="1" si="0">IF(A3&lt;&gt;"",SUMIF(SprintStories,A3,TaskBalance),"")</f>
        <v>-1</v>
      </c>
      <c r="E3" s="66">
        <f t="shared" ref="E3:E25" ca="1" si="1">IF(A3&lt;&gt;"",SUMIF(SprintStories,A3,TaskExpVariance),"")</f>
        <v>-1</v>
      </c>
      <c r="F3" s="66">
        <f t="shared" ref="F3:F25" ca="1" si="2">IF(A3&lt;&gt;"",SUMIF(SprintStories,A3,TaskLeft),"")</f>
        <v>0</v>
      </c>
      <c r="G3">
        <v>1</v>
      </c>
      <c r="H3">
        <v>1</v>
      </c>
      <c r="I3" s="66">
        <f ca="1">IF(A3&lt;&gt;"",_xlfn.MINIFS(Table4[SprintID],Table4[Story ID],Stories!$A3),"")</f>
        <v>1</v>
      </c>
      <c r="J3" s="66">
        <f ca="1">IF(AND(Stories!$K3&gt;=100%,Stories!$A3&lt;&gt;""),_xlfn.MAXIFS(Table4[SprintID],Table4[Story ID],Stories!$A3),"")</f>
        <v>2</v>
      </c>
      <c r="K3" s="68">
        <f ca="1">IFERROR((Stories!$C3-Stories!$F3)/Stories!$C3,"")</f>
        <v>1</v>
      </c>
    </row>
    <row r="4" spans="1:72" x14ac:dyDescent="0.3">
      <c r="A4">
        <v>2</v>
      </c>
      <c r="B4" t="s">
        <v>107</v>
      </c>
      <c r="C4" s="66">
        <f ca="1">IF(A4&lt;&gt;"",SUMIF(SprintStories,Stories!A4,TaskEst),"")</f>
        <v>223</v>
      </c>
      <c r="D4" s="66">
        <f t="shared" ca="1" si="0"/>
        <v>21</v>
      </c>
      <c r="E4" s="66">
        <f t="shared" ca="1" si="1"/>
        <v>-3</v>
      </c>
      <c r="F4" s="66">
        <f t="shared" ca="1" si="2"/>
        <v>26</v>
      </c>
      <c r="G4">
        <v>1</v>
      </c>
      <c r="H4">
        <v>1</v>
      </c>
      <c r="I4" s="66">
        <f ca="1">IF(A4&lt;&gt;"",_xlfn.MINIFS(Table4[SprintID],Table4[Story ID],Stories!$A4),"")</f>
        <v>1</v>
      </c>
      <c r="J4" s="66" t="str">
        <f ca="1">IF(AND(Stories!$K4&gt;=100%,Stories!$A4&lt;&gt;""),_xlfn.MAXIFS(Table4[SprintID],Table4[Story ID],Stories!$A4),"")</f>
        <v/>
      </c>
      <c r="K4" s="68">
        <f ca="1">IFERROR((Stories!$C4-Stories!$F4)/Stories!$C4,"")</f>
        <v>0.88340807174887892</v>
      </c>
    </row>
    <row r="5" spans="1:72" x14ac:dyDescent="0.3">
      <c r="A5">
        <v>3</v>
      </c>
      <c r="B5" t="s">
        <v>108</v>
      </c>
      <c r="C5" s="66">
        <f ca="1">IF(A5&lt;&gt;"",SUMIF(SprintStories,Stories!A5,TaskEst),"")</f>
        <v>122</v>
      </c>
      <c r="D5" s="66">
        <f t="shared" ca="1" si="0"/>
        <v>1</v>
      </c>
      <c r="E5" s="66">
        <f t="shared" ca="1" si="1"/>
        <v>1</v>
      </c>
      <c r="F5" s="66">
        <f t="shared" ca="1" si="2"/>
        <v>0</v>
      </c>
      <c r="G5">
        <v>1</v>
      </c>
      <c r="H5">
        <v>1</v>
      </c>
      <c r="I5" s="66">
        <f ca="1">IF(A5&lt;&gt;"",_xlfn.MINIFS(Table4[SprintID],Table4[Story ID],Stories!$A5),"")</f>
        <v>1</v>
      </c>
      <c r="J5" s="66">
        <f ca="1">IF(AND(Stories!$K5&gt;=100%,Stories!$A5&lt;&gt;""),_xlfn.MAXIFS(Table4[SprintID],Table4[Story ID],Stories!$A5),"")</f>
        <v>2</v>
      </c>
      <c r="K5" s="68">
        <f ca="1">IFERROR((Stories!$C5-Stories!$F5)/Stories!$C5,"")</f>
        <v>1</v>
      </c>
    </row>
    <row r="6" spans="1:72" x14ac:dyDescent="0.3">
      <c r="A6">
        <v>4</v>
      </c>
      <c r="B6" t="s">
        <v>109</v>
      </c>
      <c r="C6" s="66">
        <f ca="1">IF(A6&lt;&gt;"",SUMIF(SprintStories,Stories!A6,TaskEst),"")</f>
        <v>18</v>
      </c>
      <c r="D6" s="66">
        <f t="shared" ca="1" si="0"/>
        <v>12</v>
      </c>
      <c r="E6" s="66">
        <f t="shared" ca="1" si="1"/>
        <v>6</v>
      </c>
      <c r="F6" s="66">
        <f t="shared" ca="1" si="2"/>
        <v>12</v>
      </c>
      <c r="G6">
        <v>1</v>
      </c>
      <c r="H6">
        <v>1</v>
      </c>
      <c r="I6" s="66">
        <f ca="1">IF(A6&lt;&gt;"",_xlfn.MINIFS(Table4[SprintID],Table4[Story ID],Stories!$A6),"")</f>
        <v>1</v>
      </c>
      <c r="J6" s="66" t="str">
        <f ca="1">IF(AND(Stories!$K6&gt;=100%,Stories!$A6&lt;&gt;""),_xlfn.MAXIFS(Table4[SprintID],Table4[Story ID],Stories!$A6),"")</f>
        <v/>
      </c>
      <c r="K6" s="68">
        <f ca="1">IFERROR((Stories!$C6-Stories!$F6)/Stories!$C6,"")</f>
        <v>0.33333333333333331</v>
      </c>
    </row>
    <row r="7" spans="1:72" x14ac:dyDescent="0.3">
      <c r="A7">
        <v>5</v>
      </c>
      <c r="B7" t="s">
        <v>110</v>
      </c>
      <c r="C7" s="66">
        <f ca="1">IF(A7&lt;&gt;"",SUMIF(SprintStories,Stories!A7,TaskEst),"")</f>
        <v>4</v>
      </c>
      <c r="D7" s="66">
        <f t="shared" ca="1" si="0"/>
        <v>4</v>
      </c>
      <c r="E7" s="66">
        <f t="shared" ca="1" si="1"/>
        <v>0</v>
      </c>
      <c r="F7" s="66">
        <f t="shared" ca="1" si="2"/>
        <v>4</v>
      </c>
      <c r="G7">
        <v>1</v>
      </c>
      <c r="H7">
        <v>1</v>
      </c>
      <c r="I7" s="66">
        <f ca="1">IF(A7&lt;&gt;"",_xlfn.MINIFS(Table4[SprintID],Table4[Story ID],Stories!$A7),"")</f>
        <v>1</v>
      </c>
      <c r="J7" s="66" t="str">
        <f ca="1">IF(AND(Stories!$K7&gt;=100%,Stories!$A7&lt;&gt;""),_xlfn.MAXIFS(Table4[SprintID],Table4[Story ID],Stories!$A7),"")</f>
        <v/>
      </c>
      <c r="K7" s="68">
        <f ca="1">IFERROR((Stories!$C7-Stories!$F7)/Stories!$C7,"")</f>
        <v>0</v>
      </c>
    </row>
    <row r="8" spans="1:72" x14ac:dyDescent="0.3">
      <c r="A8">
        <v>6</v>
      </c>
      <c r="B8" t="s">
        <v>111</v>
      </c>
      <c r="C8" s="66">
        <f ca="1">IF(A8&lt;&gt;"",SUMIF(SprintStories,Stories!A8,TaskEst),"")</f>
        <v>2</v>
      </c>
      <c r="D8" s="66">
        <f t="shared" ca="1" si="0"/>
        <v>2</v>
      </c>
      <c r="E8" s="66">
        <f t="shared" ca="1" si="1"/>
        <v>0</v>
      </c>
      <c r="F8" s="66">
        <f t="shared" ca="1" si="2"/>
        <v>2</v>
      </c>
      <c r="I8" s="66">
        <f ca="1">IF(A8&lt;&gt;"",_xlfn.MINIFS(Table4[SprintID],Table4[Story ID],Stories!$A8),"")</f>
        <v>1</v>
      </c>
      <c r="J8" s="66" t="str">
        <f ca="1">IF(AND(Stories!$K8&gt;=100%,Stories!$A8&lt;&gt;""),_xlfn.MAXIFS(Table4[SprintID],Table4[Story ID],Stories!$A8),"")</f>
        <v/>
      </c>
      <c r="K8" s="68">
        <f ca="1">IFERROR((Stories!$C8-Stories!$F8)/Stories!$C8,"")</f>
        <v>0</v>
      </c>
    </row>
    <row r="9" spans="1:72" x14ac:dyDescent="0.3">
      <c r="A9">
        <v>7</v>
      </c>
      <c r="B9" t="s">
        <v>112</v>
      </c>
      <c r="C9" s="66">
        <f ca="1">IF(A9&lt;&gt;"",SUMIF(SprintStories,Stories!A9,TaskEst),"")</f>
        <v>0</v>
      </c>
      <c r="D9" s="66">
        <f t="shared" ca="1" si="0"/>
        <v>0</v>
      </c>
      <c r="E9" s="66">
        <f t="shared" ca="1" si="1"/>
        <v>0</v>
      </c>
      <c r="F9" s="66">
        <f t="shared" ca="1" si="2"/>
        <v>0</v>
      </c>
      <c r="I9" s="66">
        <f ca="1">IF(A9&lt;&gt;"",_xlfn.MINIFS(Table4[SprintID],Table4[Story ID],Stories!$A9),"")</f>
        <v>0</v>
      </c>
      <c r="J9" s="66">
        <f ca="1">IF(AND(Stories!$K9&gt;=100%,Stories!$A9&lt;&gt;""),_xlfn.MAXIFS(Table4[SprintID],Table4[Story ID],Stories!$A9),"")</f>
        <v>0</v>
      </c>
      <c r="K9" s="68" t="str">
        <f ca="1">IFERROR((Stories!$C9-Stories!$F9)/Stories!$C9,"")</f>
        <v/>
      </c>
    </row>
    <row r="10" spans="1:72" x14ac:dyDescent="0.3">
      <c r="A10">
        <v>8</v>
      </c>
      <c r="B10" t="s">
        <v>113</v>
      </c>
      <c r="C10" s="66">
        <f ca="1">IF(A10&lt;&gt;"",SUMIF(SprintStories,Stories!A10,TaskEst),"")</f>
        <v>0</v>
      </c>
      <c r="D10" s="66">
        <f ca="1">IF(A10&lt;&gt;"",SUMIF(SprintStories,A10,TaskBalance),"")</f>
        <v>0</v>
      </c>
      <c r="E10" s="66">
        <f ca="1">IF(A10&lt;&gt;"",SUMIF(SprintStories,A10,TaskExpVariance),"")</f>
        <v>0</v>
      </c>
      <c r="F10" s="66">
        <f t="shared" ca="1" si="2"/>
        <v>0</v>
      </c>
      <c r="I10" s="66">
        <f ca="1">IF(A10&lt;&gt;"",_xlfn.MINIFS(Table4[SprintID],Table4[Story ID],Stories!$A10),"")</f>
        <v>0</v>
      </c>
      <c r="J10" s="66">
        <f ca="1">IF(AND(Stories!$K10&gt;=100%,Stories!$A10&lt;&gt;""),_xlfn.MAXIFS(Table4[SprintID],Table4[Story ID],Stories!$A10),"")</f>
        <v>0</v>
      </c>
      <c r="K10" s="68" t="str">
        <f ca="1">IFERROR((Stories!$C10-Stories!$F10)/Stories!$C10,"")</f>
        <v/>
      </c>
    </row>
    <row r="11" spans="1:72" x14ac:dyDescent="0.3">
      <c r="A11">
        <v>9</v>
      </c>
      <c r="B11" t="s">
        <v>114</v>
      </c>
      <c r="C11" s="66">
        <f ca="1">IF(A11&lt;&gt;"",SUMIF(SprintStories,Stories!A11,TaskEst),"")</f>
        <v>0</v>
      </c>
      <c r="D11" s="66">
        <f t="shared" ref="D11:D17" ca="1" si="3">IF(A11&lt;&gt;"",SUMIF(SprintStories,A11,TaskBalance),"")</f>
        <v>0</v>
      </c>
      <c r="E11" s="66">
        <f t="shared" ref="E11:E17" ca="1" si="4">IF(A11&lt;&gt;"",SUMIF(SprintStories,A11,TaskExpVariance),"")</f>
        <v>0</v>
      </c>
      <c r="F11" s="66">
        <f t="shared" ca="1" si="2"/>
        <v>0</v>
      </c>
      <c r="I11" s="66">
        <f ca="1">IF(A11&lt;&gt;"",_xlfn.MINIFS(Table4[SprintID],Table4[Story ID],Stories!$A11),"")</f>
        <v>0</v>
      </c>
      <c r="J11" s="66">
        <f ca="1">IF(AND(Stories!$K11&gt;=100%,Stories!$A11&lt;&gt;""),_xlfn.MAXIFS(Table4[SprintID],Table4[Story ID],Stories!$A11),"")</f>
        <v>0</v>
      </c>
      <c r="K11" s="68" t="str">
        <f ca="1">IFERROR((Stories!$C11-Stories!$F11)/Stories!$C11,"")</f>
        <v/>
      </c>
    </row>
    <row r="12" spans="1:72" x14ac:dyDescent="0.3">
      <c r="A12">
        <v>10</v>
      </c>
      <c r="B12" t="s">
        <v>115</v>
      </c>
      <c r="C12" s="66">
        <f ca="1">IF(A12&lt;&gt;"",SUMIF(SprintStories,Stories!A12,TaskEst),"")</f>
        <v>0</v>
      </c>
      <c r="D12" s="66">
        <f t="shared" ca="1" si="3"/>
        <v>0</v>
      </c>
      <c r="E12" s="66">
        <f t="shared" ca="1" si="4"/>
        <v>0</v>
      </c>
      <c r="F12" s="66">
        <f t="shared" ca="1" si="2"/>
        <v>0</v>
      </c>
      <c r="I12" s="66">
        <f ca="1">IF(A12&lt;&gt;"",_xlfn.MINIFS(Table4[SprintID],Table4[Story ID],Stories!$A12),"")</f>
        <v>0</v>
      </c>
      <c r="J12" s="66">
        <f ca="1">IF(AND(Stories!$K12&gt;=100%,Stories!$A12&lt;&gt;""),_xlfn.MAXIFS(Table4[SprintID],Table4[Story ID],Stories!$A12),"")</f>
        <v>0</v>
      </c>
      <c r="K12" s="68" t="str">
        <f ca="1">IFERROR((Stories!$C12-Stories!$F12)/Stories!$C12,"")</f>
        <v/>
      </c>
    </row>
    <row r="13" spans="1:72" x14ac:dyDescent="0.3">
      <c r="A13">
        <v>11</v>
      </c>
      <c r="B13" t="s">
        <v>116</v>
      </c>
      <c r="C13" s="66">
        <f ca="1">IF(A13&lt;&gt;"",SUMIF(SprintStories,Stories!A13,TaskEst),"")</f>
        <v>0</v>
      </c>
      <c r="D13" s="66">
        <f t="shared" ca="1" si="3"/>
        <v>0</v>
      </c>
      <c r="E13" s="66">
        <f t="shared" ca="1" si="4"/>
        <v>0</v>
      </c>
      <c r="F13" s="66">
        <f t="shared" ca="1" si="2"/>
        <v>0</v>
      </c>
      <c r="I13" s="66">
        <f ca="1">IF(A13&lt;&gt;"",_xlfn.MINIFS(Table4[SprintID],Table4[Story ID],Stories!$A13),"")</f>
        <v>0</v>
      </c>
      <c r="J13" s="66">
        <f ca="1">IF(AND(Stories!$K13&gt;=100%,Stories!$A13&lt;&gt;""),_xlfn.MAXIFS(Table4[SprintID],Table4[Story ID],Stories!$A13),"")</f>
        <v>0</v>
      </c>
      <c r="K13" s="68" t="str">
        <f ca="1">IFERROR((Stories!$C13-Stories!$F13)/Stories!$C13,"")</f>
        <v/>
      </c>
    </row>
    <row r="14" spans="1:72" x14ac:dyDescent="0.3">
      <c r="A14">
        <v>12</v>
      </c>
      <c r="B14" t="s">
        <v>117</v>
      </c>
      <c r="C14" s="66">
        <f ca="1">IF(A14&lt;&gt;"",SUMIF(SprintStories,Stories!A14,TaskEst),"")</f>
        <v>0</v>
      </c>
      <c r="D14" s="66">
        <f t="shared" ca="1" si="3"/>
        <v>0</v>
      </c>
      <c r="E14" s="66">
        <f t="shared" ca="1" si="4"/>
        <v>0</v>
      </c>
      <c r="F14" s="66">
        <f t="shared" ca="1" si="2"/>
        <v>0</v>
      </c>
      <c r="I14" s="66">
        <f ca="1">IF(A14&lt;&gt;"",_xlfn.MINIFS(Table4[SprintID],Table4[Story ID],Stories!$A14),"")</f>
        <v>0</v>
      </c>
      <c r="J14" s="66">
        <f ca="1">IF(AND(Stories!$K14&gt;=100%,Stories!$A14&lt;&gt;""),_xlfn.MAXIFS(Table4[SprintID],Table4[Story ID],Stories!$A14),"")</f>
        <v>0</v>
      </c>
      <c r="K14" s="68" t="str">
        <f ca="1">IFERROR((Stories!$C14-Stories!$F14)/Stories!$C14,"")</f>
        <v/>
      </c>
    </row>
    <row r="15" spans="1:72" x14ac:dyDescent="0.3">
      <c r="A15">
        <v>13</v>
      </c>
      <c r="B15" t="s">
        <v>118</v>
      </c>
      <c r="C15" s="66">
        <f ca="1">IF(A15&lt;&gt;"",SUMIF(SprintStories,Stories!A15,TaskEst),"")</f>
        <v>0</v>
      </c>
      <c r="D15" s="66">
        <f t="shared" ca="1" si="3"/>
        <v>0</v>
      </c>
      <c r="E15" s="66">
        <f t="shared" ca="1" si="4"/>
        <v>0</v>
      </c>
      <c r="F15" s="66">
        <f t="shared" ca="1" si="2"/>
        <v>0</v>
      </c>
      <c r="I15" s="66">
        <f ca="1">IF(A15&lt;&gt;"",_xlfn.MINIFS(Table4[SprintID],Table4[Story ID],Stories!$A15),"")</f>
        <v>0</v>
      </c>
      <c r="J15" s="66">
        <f ca="1">IF(AND(Stories!$K15&gt;=100%,Stories!$A15&lt;&gt;""),_xlfn.MAXIFS(Table4[SprintID],Table4[Story ID],Stories!$A15),"")</f>
        <v>0</v>
      </c>
      <c r="K15" s="68" t="str">
        <f ca="1">IFERROR((Stories!$C15-Stories!$F15)/Stories!$C15,"")</f>
        <v/>
      </c>
    </row>
    <row r="16" spans="1:72" x14ac:dyDescent="0.3">
      <c r="A16">
        <v>14</v>
      </c>
      <c r="B16" t="s">
        <v>119</v>
      </c>
      <c r="C16" s="66">
        <f ca="1">IF(A16&lt;&gt;"",SUMIF(SprintStories,Stories!A16,TaskEst),"")</f>
        <v>0</v>
      </c>
      <c r="D16" s="66">
        <f t="shared" ca="1" si="3"/>
        <v>0</v>
      </c>
      <c r="E16" s="66">
        <f t="shared" ca="1" si="4"/>
        <v>0</v>
      </c>
      <c r="F16" s="66">
        <f t="shared" ca="1" si="2"/>
        <v>0</v>
      </c>
      <c r="I16" s="66">
        <f ca="1">IF(A16&lt;&gt;"",_xlfn.MINIFS(Table4[SprintID],Table4[Story ID],Stories!$A16),"")</f>
        <v>0</v>
      </c>
      <c r="J16" s="66">
        <f ca="1">IF(AND(Stories!$K16&gt;=100%,Stories!$A16&lt;&gt;""),_xlfn.MAXIFS(Table4[SprintID],Table4[Story ID],Stories!$A16),"")</f>
        <v>0</v>
      </c>
      <c r="K16" s="68" t="str">
        <f ca="1">IFERROR((Stories!$C16-Stories!$F16)/Stories!$C16,"")</f>
        <v/>
      </c>
    </row>
    <row r="17" spans="1:72" x14ac:dyDescent="0.3">
      <c r="A17">
        <v>15</v>
      </c>
      <c r="B17" t="s">
        <v>120</v>
      </c>
      <c r="C17" s="66">
        <f ca="1">IF(A17&lt;&gt;"",SUMIF(SprintStories,Stories!A17,TaskEst),"")</f>
        <v>0</v>
      </c>
      <c r="D17" s="66">
        <f t="shared" ca="1" si="3"/>
        <v>0</v>
      </c>
      <c r="E17" s="66">
        <f t="shared" ca="1" si="4"/>
        <v>0</v>
      </c>
      <c r="F17" s="66">
        <f t="shared" ca="1" si="2"/>
        <v>0</v>
      </c>
      <c r="I17" s="66">
        <f ca="1">IF(A17&lt;&gt;"",_xlfn.MINIFS(Table4[SprintID],Table4[Story ID],Stories!$A17),"")</f>
        <v>0</v>
      </c>
      <c r="J17" s="66">
        <f ca="1">IF(AND(Stories!$K17&gt;=100%,Stories!$A17&lt;&gt;""),_xlfn.MAXIFS(Table4[SprintID],Table4[Story ID],Stories!$A17),"")</f>
        <v>0</v>
      </c>
      <c r="K17" s="68" t="str">
        <f ca="1">IFERROR((Stories!$C17-Stories!$F17)/Stories!$C17,"")</f>
        <v/>
      </c>
    </row>
    <row r="18" spans="1:72" x14ac:dyDescent="0.3">
      <c r="A18">
        <v>16</v>
      </c>
      <c r="B18" t="s">
        <v>121</v>
      </c>
      <c r="C18" s="66">
        <f ca="1">IF(A18&lt;&gt;"",SUMIF(SprintStories,Stories!A18,TaskEst),"")</f>
        <v>0</v>
      </c>
      <c r="D18" s="66">
        <f t="shared" ca="1" si="0"/>
        <v>0</v>
      </c>
      <c r="E18" s="66">
        <f t="shared" ca="1" si="1"/>
        <v>0</v>
      </c>
      <c r="F18" s="66">
        <f t="shared" ca="1" si="2"/>
        <v>0</v>
      </c>
      <c r="I18" s="66">
        <f ca="1">IF(A18&lt;&gt;"",_xlfn.MINIFS(Table4[SprintID],Table4[Story ID],Stories!$A18),"")</f>
        <v>0</v>
      </c>
      <c r="J18" s="66">
        <f ca="1">IF(AND(Stories!$K18&gt;=100%,Stories!$A18&lt;&gt;""),_xlfn.MAXIFS(Table4[SprintID],Table4[Story ID],Stories!$A18),"")</f>
        <v>0</v>
      </c>
      <c r="K18" s="68" t="str">
        <f ca="1">IFERROR((Stories!$C18-Stories!$F18)/Stories!$C18,"")</f>
        <v/>
      </c>
    </row>
    <row r="19" spans="1:72" x14ac:dyDescent="0.3">
      <c r="A19">
        <v>17</v>
      </c>
      <c r="B19" t="s">
        <v>122</v>
      </c>
      <c r="C19" s="66">
        <f ca="1">IF(A19&lt;&gt;"",SUMIF(SprintStories,Stories!A19,TaskEst),"")</f>
        <v>0</v>
      </c>
      <c r="D19" s="66">
        <f t="shared" ca="1" si="0"/>
        <v>0</v>
      </c>
      <c r="E19" s="66">
        <f t="shared" ca="1" si="1"/>
        <v>0</v>
      </c>
      <c r="F19" s="66">
        <f t="shared" ca="1" si="2"/>
        <v>0</v>
      </c>
      <c r="I19" s="66">
        <f ca="1">IF(A19&lt;&gt;"",_xlfn.MINIFS(Table4[SprintID],Table4[Story ID],Stories!$A19),"")</f>
        <v>0</v>
      </c>
      <c r="J19" s="66">
        <f ca="1">IF(AND(Stories!$K19&gt;=100%,Stories!$A19&lt;&gt;""),_xlfn.MAXIFS(Table4[SprintID],Table4[Story ID],Stories!$A19),"")</f>
        <v>0</v>
      </c>
      <c r="K19" s="68" t="str">
        <f ca="1">IFERROR((Stories!$C19-Stories!$F19)/Stories!$C19,"")</f>
        <v/>
      </c>
    </row>
    <row r="20" spans="1:72" x14ac:dyDescent="0.3">
      <c r="A20">
        <v>18</v>
      </c>
      <c r="B20" t="s">
        <v>123</v>
      </c>
      <c r="C20" s="66">
        <f ca="1">IF(A20&lt;&gt;"",SUMIF(SprintStories,Stories!A20,TaskEst),"")</f>
        <v>0</v>
      </c>
      <c r="D20" s="66">
        <f t="shared" ca="1" si="0"/>
        <v>0</v>
      </c>
      <c r="E20" s="66">
        <f t="shared" ca="1" si="1"/>
        <v>0</v>
      </c>
      <c r="F20" s="66">
        <f t="shared" ca="1" si="2"/>
        <v>0</v>
      </c>
      <c r="I20" s="66">
        <f ca="1">IF(A20&lt;&gt;"",_xlfn.MINIFS(Table4[SprintID],Table4[Story ID],Stories!$A20),"")</f>
        <v>0</v>
      </c>
      <c r="J20" s="66">
        <f ca="1">IF(AND(Stories!$K20&gt;=100%,Stories!$A20&lt;&gt;""),_xlfn.MAXIFS(Table4[SprintID],Table4[Story ID],Stories!$A20),"")</f>
        <v>0</v>
      </c>
      <c r="K20" s="68" t="str">
        <f ca="1">IFERROR((Stories!$C20-Stories!$F20)/Stories!$C20,"")</f>
        <v/>
      </c>
    </row>
    <row r="21" spans="1:72" x14ac:dyDescent="0.3">
      <c r="A21">
        <v>19</v>
      </c>
      <c r="B21" t="s">
        <v>124</v>
      </c>
      <c r="C21" s="66">
        <f ca="1">IF(A21&lt;&gt;"",SUMIF(SprintStories,Stories!A21,TaskEst),"")</f>
        <v>0</v>
      </c>
      <c r="D21" s="66">
        <f t="shared" ca="1" si="0"/>
        <v>0</v>
      </c>
      <c r="E21" s="66">
        <f t="shared" ca="1" si="1"/>
        <v>0</v>
      </c>
      <c r="F21" s="66">
        <f t="shared" ca="1" si="2"/>
        <v>0</v>
      </c>
      <c r="I21" s="66">
        <f ca="1">IF(A21&lt;&gt;"",_xlfn.MINIFS(Table4[SprintID],Table4[Story ID],Stories!$A21),"")</f>
        <v>0</v>
      </c>
      <c r="J21" s="66">
        <f ca="1">IF(AND(Stories!$K21&gt;=100%,Stories!$A21&lt;&gt;""),_xlfn.MAXIFS(Table4[SprintID],Table4[Story ID],Stories!$A21),"")</f>
        <v>0</v>
      </c>
      <c r="K21" s="68" t="str">
        <f ca="1">IFERROR((Stories!$C21-Stories!$F21)/Stories!$C21,"")</f>
        <v/>
      </c>
    </row>
    <row r="22" spans="1:72" x14ac:dyDescent="0.3">
      <c r="A22">
        <v>20</v>
      </c>
      <c r="B22" t="s">
        <v>125</v>
      </c>
      <c r="C22" s="66">
        <f ca="1">IF(A22&lt;&gt;"",SUMIF(SprintStories,Stories!A22,TaskEst),"")</f>
        <v>0</v>
      </c>
      <c r="D22" s="66">
        <f ca="1">IF(A22&lt;&gt;"",SUMIF(SprintStories,A22,TaskBalance),"")</f>
        <v>0</v>
      </c>
      <c r="E22" s="66">
        <f ca="1">IF(A22&lt;&gt;"",SUMIF(SprintStories,A22,TaskExpVariance),"")</f>
        <v>0</v>
      </c>
      <c r="F22" s="66">
        <f ca="1">IF(A22&lt;&gt;"",SUMIF(SprintStories,A22,TaskLeft),"")</f>
        <v>0</v>
      </c>
      <c r="I22" s="66">
        <f ca="1">IF(A22&lt;&gt;"",_xlfn.MINIFS(Table4[SprintID],Table4[Story ID],Stories!$A22),"")</f>
        <v>0</v>
      </c>
      <c r="J22" s="66">
        <f ca="1">IF(AND(Stories!$K22&gt;=100%,Stories!$A22&lt;&gt;""),_xlfn.MAXIFS(Table4[SprintID],Table4[Story ID],Stories!$A22),"")</f>
        <v>0</v>
      </c>
      <c r="K22" s="68" t="str">
        <f ca="1">IFERROR((Stories!$C22-Stories!$F22)/Stories!$C22,"")</f>
        <v/>
      </c>
    </row>
    <row r="23" spans="1:72" x14ac:dyDescent="0.3">
      <c r="A23">
        <v>21</v>
      </c>
      <c r="B23" t="s">
        <v>126</v>
      </c>
      <c r="C23" s="66">
        <f ca="1">IF(A23&lt;&gt;"",SUMIF(SprintStories,Stories!A23,TaskEst),"")</f>
        <v>0</v>
      </c>
      <c r="D23" s="66">
        <f ca="1">IF(A23&lt;&gt;"",SUMIF(SprintStories,A23,TaskBalance),"")</f>
        <v>0</v>
      </c>
      <c r="E23" s="66">
        <f ca="1">IF(A23&lt;&gt;"",SUMIF(SprintStories,A23,TaskExpVariance),"")</f>
        <v>0</v>
      </c>
      <c r="F23" s="66">
        <f ca="1">IF(A23&lt;&gt;"",SUMIF(SprintStories,A23,TaskLeft),"")</f>
        <v>0</v>
      </c>
      <c r="I23" s="66">
        <f ca="1">IF(A23&lt;&gt;"",_xlfn.MINIFS(Table4[SprintID],Table4[Story ID],Stories!$A23),"")</f>
        <v>0</v>
      </c>
      <c r="J23" s="66">
        <f ca="1">IF(AND(Stories!$K23&gt;=100%,Stories!$A23&lt;&gt;""),_xlfn.MAXIFS(Table4[SprintID],Table4[Story ID],Stories!$A23),"")</f>
        <v>0</v>
      </c>
      <c r="K23" s="68" t="str">
        <f ca="1">IFERROR((Stories!$C23-Stories!$F23)/Stories!$C23,"")</f>
        <v/>
      </c>
    </row>
    <row r="24" spans="1:72" x14ac:dyDescent="0.3">
      <c r="A24">
        <v>22</v>
      </c>
      <c r="B24" t="s">
        <v>127</v>
      </c>
      <c r="C24" s="66">
        <f ca="1">IF(A24&lt;&gt;"",SUMIF(SprintStories,Stories!A24,TaskEst),"")</f>
        <v>0</v>
      </c>
      <c r="D24" s="66">
        <f t="shared" ca="1" si="0"/>
        <v>0</v>
      </c>
      <c r="E24" s="66">
        <f t="shared" ca="1" si="1"/>
        <v>0</v>
      </c>
      <c r="F24" s="66">
        <f t="shared" ca="1" si="2"/>
        <v>0</v>
      </c>
      <c r="I24" s="66">
        <f ca="1">IF(A24&lt;&gt;"",_xlfn.MINIFS(Table4[SprintID],Table4[Story ID],Stories!$A24),"")</f>
        <v>0</v>
      </c>
      <c r="J24" s="66">
        <f ca="1">IF(AND(Stories!$K24&gt;=100%,Stories!$A24&lt;&gt;""),_xlfn.MAXIFS(Table4[SprintID],Table4[Story ID],Stories!$A24),"")</f>
        <v>0</v>
      </c>
      <c r="K24" s="68" t="str">
        <f ca="1">IFERROR((Stories!$C24-Stories!$F24)/Stories!$C24,"")</f>
        <v/>
      </c>
    </row>
    <row r="25" spans="1:72" x14ac:dyDescent="0.3">
      <c r="A25">
        <v>23</v>
      </c>
      <c r="B25" t="s">
        <v>128</v>
      </c>
      <c r="C25" s="66">
        <f ca="1">IF(A25&lt;&gt;"",SUMIF(SprintStories,Stories!A25,TaskEst),"")</f>
        <v>0</v>
      </c>
      <c r="D25" s="66">
        <f t="shared" ca="1" si="0"/>
        <v>0</v>
      </c>
      <c r="E25" s="66">
        <f t="shared" ca="1" si="1"/>
        <v>0</v>
      </c>
      <c r="F25" s="66">
        <f t="shared" ca="1" si="2"/>
        <v>0</v>
      </c>
      <c r="I25" s="66">
        <f ca="1">IF(A25&lt;&gt;"",_xlfn.MINIFS(Table4[SprintID],Table4[Story ID],Stories!$A25),"")</f>
        <v>0</v>
      </c>
      <c r="J25" s="66">
        <f ca="1">IF(AND(Stories!$K25&gt;=100%,Stories!$A25&lt;&gt;""),_xlfn.MAXIFS(Table4[SprintID],Table4[Story ID],Stories!$A25),"")</f>
        <v>0</v>
      </c>
      <c r="K25" s="68" t="str">
        <f ca="1">IFERROR((Stories!$C25-Stories!$F25)/Stories!$C25,"")</f>
        <v/>
      </c>
    </row>
    <row r="26" spans="1:72" x14ac:dyDescent="0.3">
      <c r="A26">
        <v>24</v>
      </c>
      <c r="B26" t="s">
        <v>129</v>
      </c>
      <c r="C26" s="66">
        <f ca="1">IF(A26&lt;&gt;"",SUMIF(SprintStories,Stories!A26,TaskEst),"")</f>
        <v>0</v>
      </c>
      <c r="D26" s="66">
        <f t="shared" ref="D26:D29" ca="1" si="5">IF(A26&lt;&gt;"",SUMIF(SprintStories,A26,TaskBalance),"")</f>
        <v>0</v>
      </c>
      <c r="E26" s="66">
        <f t="shared" ref="E26:E29" ca="1" si="6">IF(A26&lt;&gt;"",SUMIF(SprintStories,A26,TaskExpVariance),"")</f>
        <v>0</v>
      </c>
      <c r="F26" s="66">
        <f t="shared" ref="F26:F29" ca="1" si="7">IF(A26&lt;&gt;"",SUMIF(SprintStories,A26,TaskLeft),"")</f>
        <v>0</v>
      </c>
      <c r="I26" s="66">
        <f ca="1">IF(A26&lt;&gt;"",_xlfn.MINIFS(Table4[SprintID],Table4[Story ID],Stories!$A26),"")</f>
        <v>0</v>
      </c>
      <c r="J26" s="66">
        <f ca="1">IF(AND(Stories!$K26&gt;=100%,Stories!$A26&lt;&gt;""),_xlfn.MAXIFS(Table4[SprintID],Table4[Story ID],Stories!$A26),"")</f>
        <v>0</v>
      </c>
      <c r="K26" s="68" t="str">
        <f ca="1">IFERROR((Stories!$C26-Stories!$F26)/Stories!$C26,"")</f>
        <v/>
      </c>
    </row>
    <row r="27" spans="1:72" x14ac:dyDescent="0.3">
      <c r="A27">
        <v>25</v>
      </c>
      <c r="B27" t="s">
        <v>130</v>
      </c>
      <c r="C27" s="66">
        <f ca="1">IF(A27&lt;&gt;"",SUMIF(SprintStories,Stories!A27,TaskEst),"")</f>
        <v>0</v>
      </c>
      <c r="D27" s="66">
        <f t="shared" ca="1" si="5"/>
        <v>0</v>
      </c>
      <c r="E27" s="66">
        <f t="shared" ca="1" si="6"/>
        <v>0</v>
      </c>
      <c r="F27" s="66">
        <f t="shared" ca="1" si="7"/>
        <v>0</v>
      </c>
      <c r="I27" s="66">
        <f ca="1">IF(A27&lt;&gt;"",_xlfn.MINIFS(Table4[SprintID],Table4[Story ID],Stories!$A27),"")</f>
        <v>0</v>
      </c>
      <c r="J27" s="66">
        <f ca="1">IF(AND(Stories!$K27&gt;=100%,Stories!$A27&lt;&gt;""),_xlfn.MAXIFS(Table4[SprintID],Table4[Story ID],Stories!$A27),"")</f>
        <v>0</v>
      </c>
      <c r="K27" s="68" t="str">
        <f ca="1">IFERROR((Stories!$C27-Stories!$F27)/Stories!$C27,"")</f>
        <v/>
      </c>
    </row>
    <row r="28" spans="1:72" x14ac:dyDescent="0.3">
      <c r="A28">
        <v>26</v>
      </c>
      <c r="B28" t="s">
        <v>131</v>
      </c>
      <c r="C28" s="66">
        <f ca="1">IF(A28&lt;&gt;"",SUMIF(SprintStories,Stories!A28,TaskEst),"")</f>
        <v>0</v>
      </c>
      <c r="D28" s="66">
        <f t="shared" ca="1" si="5"/>
        <v>0</v>
      </c>
      <c r="E28" s="66">
        <f t="shared" ca="1" si="6"/>
        <v>0</v>
      </c>
      <c r="F28" s="66">
        <f t="shared" ca="1" si="7"/>
        <v>0</v>
      </c>
      <c r="I28" s="66">
        <f ca="1">IF(A28&lt;&gt;"",_xlfn.MINIFS(Table4[SprintID],Table4[Story ID],Stories!$A28),"")</f>
        <v>0</v>
      </c>
      <c r="J28" s="66">
        <f ca="1">IF(AND(Stories!$K28&gt;=100%,Stories!$A28&lt;&gt;""),_xlfn.MAXIFS(Table4[SprintID],Table4[Story ID],Stories!$A28),"")</f>
        <v>0</v>
      </c>
      <c r="K28" s="68" t="str">
        <f ca="1">IFERROR((Stories!$C28-Stories!$F28)/Stories!$C28,"")</f>
        <v/>
      </c>
    </row>
    <row r="29" spans="1:72" x14ac:dyDescent="0.3">
      <c r="C29" s="66" t="str">
        <f>IF(A29&lt;&gt;"",SUMIF(SprintStories,Stories!A29,TaskEst),"")</f>
        <v/>
      </c>
      <c r="D29" s="66" t="str">
        <f t="shared" si="5"/>
        <v/>
      </c>
      <c r="E29" s="66" t="str">
        <f t="shared" si="6"/>
        <v/>
      </c>
      <c r="F29" s="66" t="str">
        <f t="shared" si="7"/>
        <v/>
      </c>
      <c r="I29" s="66" t="str">
        <f>IF(A29&lt;&gt;"",_xlfn.MINIFS(Table4[SprintID],Table4[Story ID],Stories!$A29),"")</f>
        <v/>
      </c>
      <c r="J29" s="66" t="str">
        <f>IF(AND(Stories!$K29&gt;=100%,Stories!$A29&lt;&gt;""),_xlfn.MAXIFS(Table4[SprintID],Table4[Story ID],Stories!$A29),"")</f>
        <v/>
      </c>
      <c r="K29" s="68" t="str">
        <f>IFERROR((Stories!$C29-Stories!$F29)/Stories!$C29,"")</f>
        <v/>
      </c>
    </row>
    <row r="30" spans="1:72" ht="15" thickBot="1" x14ac:dyDescent="0.35">
      <c r="A30" s="57"/>
      <c r="B30" s="57"/>
      <c r="C30" s="67">
        <f ca="1">SUM(C3:C29)</f>
        <v>383</v>
      </c>
      <c r="D30" s="67">
        <f ca="1">SUM(D3:D29)</f>
        <v>39</v>
      </c>
      <c r="E30" s="67">
        <f ca="1">SUM(E3:E29)</f>
        <v>3</v>
      </c>
      <c r="F30" s="67">
        <f ca="1">SUM(F3:F29)</f>
        <v>44</v>
      </c>
      <c r="G30" s="62"/>
      <c r="H30" s="62"/>
      <c r="I30" s="62" t="str">
        <f>IF(A30&lt;&gt;"",_xlfn.MINIFS(Table4[SprintID],Table4[Story ID],Stories!$A30),"")</f>
        <v/>
      </c>
      <c r="J30" s="62" t="str">
        <f>IF(AND(Stories!$K30&gt;=100%,Stories!$A30&lt;&gt;""),_xlfn.MAXIFS(Table4[SprintID],Table4[Story ID],Stories!$A30),"")</f>
        <v/>
      </c>
      <c r="K30" s="63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</row>
    <row r="31" spans="1:72" ht="15" thickTop="1" x14ac:dyDescent="0.3"/>
  </sheetData>
  <conditionalFormatting sqref="M3:BT29">
    <cfRule type="expression" dxfId="9" priority="1">
      <formula>PercentComplete</formula>
    </cfRule>
    <cfRule type="expression" dxfId="8" priority="2">
      <formula>PercentCompleteBeyond</formula>
    </cfRule>
    <cfRule type="expression" dxfId="7" priority="3">
      <formula>Actual</formula>
    </cfRule>
    <cfRule type="expression" dxfId="6" priority="4">
      <formula>ActualBeyond</formula>
    </cfRule>
    <cfRule type="expression" dxfId="5" priority="5">
      <formula>Plan</formula>
    </cfRule>
    <cfRule type="expression" dxfId="4" priority="6">
      <formula>M$2=period_selected</formula>
    </cfRule>
    <cfRule type="expression" priority="7">
      <formula>MOD(COLUMN(),2)</formula>
    </cfRule>
    <cfRule type="expression" priority="9">
      <formula>MOD(COLUMN(),2)=0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print="0" autoPict="0" altText="Period Highlight Spin Control">
                <anchor moveWithCells="1">
                  <from>
                    <xdr:col>18</xdr:col>
                    <xdr:colOff>68580</xdr:colOff>
                    <xdr:row>0</xdr:row>
                    <xdr:rowOff>30480</xdr:rowOff>
                  </from>
                  <to>
                    <xdr:col>18</xdr:col>
                    <xdr:colOff>190500</xdr:colOff>
                    <xdr:row>0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workbookViewId="0">
      <selection activeCell="A3" sqref="A3"/>
    </sheetView>
  </sheetViews>
  <sheetFormatPr defaultRowHeight="14.4" x14ac:dyDescent="0.3"/>
  <cols>
    <col min="1" max="1" width="20.77734375" customWidth="1"/>
    <col min="2" max="2" width="13.6640625" customWidth="1"/>
  </cols>
  <sheetData>
    <row r="1" spans="1:2" ht="15" thickBot="1" x14ac:dyDescent="0.35">
      <c r="A1" s="5" t="s">
        <v>18</v>
      </c>
      <c r="B1" s="6" t="s">
        <v>83</v>
      </c>
    </row>
    <row r="2" spans="1:2" x14ac:dyDescent="0.3">
      <c r="A2" t="s">
        <v>19</v>
      </c>
      <c r="B2">
        <f ca="1">SUMIFS(TaskEst,ResourceUsed,Resources!A2,SprintID,SprintInput)</f>
        <v>0</v>
      </c>
    </row>
    <row r="3" spans="1:2" x14ac:dyDescent="0.3">
      <c r="A3" t="s">
        <v>20</v>
      </c>
      <c r="B3">
        <f ca="1">SUMIFS(TaskEst,ResourceUsed,Resources!A3,SprintID,SprintInput)</f>
        <v>0</v>
      </c>
    </row>
    <row r="4" spans="1:2" x14ac:dyDescent="0.3">
      <c r="B4">
        <f ca="1">SUMIFS(TaskEst,ResourceUsed,Resources!A4,SprintID,SprintInput)</f>
        <v>0</v>
      </c>
    </row>
    <row r="5" spans="1:2" x14ac:dyDescent="0.3">
      <c r="B5">
        <f ca="1">SUMIFS(TaskEst,ResourceUsed,Resources!A5,SprintID,SprintInput)</f>
        <v>0</v>
      </c>
    </row>
    <row r="6" spans="1:2" x14ac:dyDescent="0.3">
      <c r="B6">
        <f ca="1">SUMIFS(TaskEst,ResourceUsed,Resources!A6,SprintID,SprintInput)</f>
        <v>0</v>
      </c>
    </row>
    <row r="7" spans="1:2" x14ac:dyDescent="0.3">
      <c r="B7">
        <f ca="1">SUMIFS(TaskEst,ResourceUsed,Resources!A7,SprintID,SprintInput)</f>
        <v>0</v>
      </c>
    </row>
    <row r="8" spans="1:2" x14ac:dyDescent="0.3">
      <c r="B8">
        <f ca="1">SUMIFS(TaskEst,ResourceUsed,Resources!A8,SprintID,SprintInput)</f>
        <v>0</v>
      </c>
    </row>
    <row r="9" spans="1:2" x14ac:dyDescent="0.3">
      <c r="B9">
        <f ca="1">SUMIFS(TaskEst,ResourceUsed,Resources!A9,SprintID,SprintInput)</f>
        <v>0</v>
      </c>
    </row>
    <row r="10" spans="1:2" x14ac:dyDescent="0.3">
      <c r="B10">
        <f ca="1">SUMIFS(TaskEst,ResourceUsed,Resources!A10,SprintID,SprintInput)</f>
        <v>0</v>
      </c>
    </row>
    <row r="11" spans="1:2" x14ac:dyDescent="0.3">
      <c r="B11">
        <f ca="1">SUMIFS(TaskEst,ResourceUsed,Resources!A11,SprintID,SprintInput)</f>
        <v>0</v>
      </c>
    </row>
    <row r="12" spans="1:2" x14ac:dyDescent="0.3">
      <c r="B12">
        <f ca="1">SUMIFS(TaskEst,ResourceUsed,Resources!A12,SprintID,SprintInput)</f>
        <v>0</v>
      </c>
    </row>
    <row r="13" spans="1:2" x14ac:dyDescent="0.3">
      <c r="B13">
        <f ca="1">SUMIFS(TaskEst,ResourceUsed,Resources!A13,SprintID,SprintInput)</f>
        <v>0</v>
      </c>
    </row>
    <row r="14" spans="1:2" x14ac:dyDescent="0.3">
      <c r="B14">
        <f ca="1">SUMIFS(TaskEst,ResourceUsed,Resources!A14,SprintID,SprintInput)</f>
        <v>0</v>
      </c>
    </row>
    <row r="15" spans="1:2" x14ac:dyDescent="0.3">
      <c r="B15">
        <f ca="1">SUMIFS(TaskEst,ResourceUsed,Resources!A15,SprintID,SprintInput)</f>
        <v>0</v>
      </c>
    </row>
    <row r="16" spans="1:2" x14ac:dyDescent="0.3">
      <c r="B16">
        <f ca="1">SUMIFS(TaskEst,ResourceUsed,Resources!A16,SprintID,SprintInput)</f>
        <v>0</v>
      </c>
    </row>
    <row r="17" spans="1:2" x14ac:dyDescent="0.3">
      <c r="B17">
        <f ca="1">SUMIFS(TaskEst,ResourceUsed,Resources!A17,SprintID,SprintInput)</f>
        <v>0</v>
      </c>
    </row>
    <row r="18" spans="1:2" x14ac:dyDescent="0.3">
      <c r="B18">
        <f ca="1">SUMIFS(TaskEst,ResourceUsed,Resources!A18,SprintID,SprintInput)</f>
        <v>0</v>
      </c>
    </row>
    <row r="19" spans="1:2" x14ac:dyDescent="0.3">
      <c r="B19">
        <f ca="1">SUMIFS(TaskEst,ResourceUsed,Resources!A19,SprintID,SprintInput)</f>
        <v>0</v>
      </c>
    </row>
    <row r="20" spans="1:2" ht="15" thickBot="1" x14ac:dyDescent="0.35">
      <c r="A20" s="4" t="s">
        <v>25</v>
      </c>
      <c r="B20" s="4">
        <f ca="1">SUM(B2:B18)</f>
        <v>0</v>
      </c>
    </row>
    <row r="21" spans="1:2" ht="15" thickTop="1" x14ac:dyDescent="0.3"/>
  </sheetData>
  <conditionalFormatting sqref="A2:B19">
    <cfRule type="expression" dxfId="3" priority="2">
      <formula>$B2&gt;80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AEF3A1-683A-4A32-A5CD-477800F960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Sprint</vt:lpstr>
      <vt:lpstr>Tasks</vt:lpstr>
      <vt:lpstr>Status</vt:lpstr>
      <vt:lpstr>Sprints</vt:lpstr>
      <vt:lpstr>Burndown Chart</vt:lpstr>
      <vt:lpstr>Stories</vt:lpstr>
      <vt:lpstr>Resources</vt:lpstr>
      <vt:lpstr>Sprint!Criteria</vt:lpstr>
      <vt:lpstr>FindTaskCell</vt:lpstr>
      <vt:lpstr>hiddenrow</vt:lpstr>
      <vt:lpstr>period_selected</vt:lpstr>
      <vt:lpstr>SprintDate</vt:lpstr>
      <vt:lpstr>SprintInput</vt:lpstr>
      <vt:lpstr>SprintStory</vt:lpstr>
      <vt:lpstr>Statuses</vt:lpstr>
      <vt:lpstr>StoriesTable</vt:lpstr>
      <vt:lpstr>Sprint!TaskIDRange</vt:lpstr>
      <vt:lpstr>TaskNames</vt:lpstr>
      <vt:lpstr>TaskTable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Rodney Faris</dc:creator>
  <cp:lastModifiedBy>Rodney Faris</cp:lastModifiedBy>
  <dcterms:created xsi:type="dcterms:W3CDTF">2016-09-16T17:15:19Z</dcterms:created>
  <dcterms:modified xsi:type="dcterms:W3CDTF">2016-11-05T06:23:38Z</dcterms:modified>
</cp:coreProperties>
</file>